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6800" windowHeight="20460" tabRatio="600" firstSheet="0" activeTab="0" autoFilterDateGrouping="1"/>
  </bookViews>
  <sheets>
    <sheet xmlns:r="http://schemas.openxmlformats.org/officeDocument/2006/relationships" name="Overview" sheetId="1" state="visible" r:id="rId1"/>
    <sheet xmlns:r="http://schemas.openxmlformats.org/officeDocument/2006/relationships" name="Sources &amp; Notes" sheetId="2" state="visible" r:id="rId2"/>
  </sheets>
  <definedNames>
    <definedName name="_xlnm._FilterDatabase" localSheetId="0" hidden="1">'Overview'!$A$5:$H$188</definedName>
  </definedNames>
  <calcPr calcId="191029" fullCalcOnLoad="1"/>
</workbook>
</file>

<file path=xl/styles.xml><?xml version="1.0" encoding="utf-8"?>
<styleSheet xmlns="http://schemas.openxmlformats.org/spreadsheetml/2006/main">
  <numFmts count="2">
    <numFmt numFmtId="164" formatCode="0.0"/>
    <numFmt numFmtId="165" formatCode="0.000"/>
  </numFmts>
  <fonts count="19">
    <font>
      <name val="Calibri"/>
      <family val="2"/>
      <color theme="1"/>
      <sz val="11"/>
      <scheme val="minor"/>
    </font>
    <font>
      <name val="Arial"/>
      <family val="2"/>
      <b val="1"/>
      <color rgb="FFFFFFFF"/>
      <sz val="13"/>
    </font>
    <font>
      <name val="Arial"/>
      <family val="2"/>
      <i val="1"/>
      <color rgb="FF555555"/>
      <sz val="9"/>
    </font>
    <font>
      <name val="Arial"/>
      <family val="2"/>
      <b val="1"/>
      <color rgb="FF1F3864"/>
      <sz val="10"/>
    </font>
    <font>
      <name val="Arial"/>
      <family val="2"/>
      <i val="1"/>
      <color rgb="FF1F3864"/>
      <sz val="9"/>
    </font>
    <font>
      <name val="Arial"/>
      <family val="2"/>
      <b val="1"/>
      <color rgb="FF0000FF"/>
      <sz val="11"/>
    </font>
    <font>
      <name val="Arial"/>
      <family val="2"/>
      <b val="1"/>
      <color rgb="FFFFFFFF"/>
      <sz val="10"/>
    </font>
    <font>
      <name val="Arial"/>
      <family val="2"/>
      <sz val="10"/>
    </font>
    <font>
      <name val="Arial"/>
      <family val="2"/>
      <b val="1"/>
      <color rgb="FF006100"/>
      <sz val="9"/>
    </font>
    <font>
      <name val="Arial"/>
      <family val="2"/>
      <b val="1"/>
      <color rgb="FF9C6500"/>
      <sz val="9"/>
    </font>
    <font>
      <name val="Arial"/>
      <family val="2"/>
      <color rgb="FF000000"/>
      <sz val="10"/>
    </font>
    <font>
      <name val="Arial"/>
      <family val="2"/>
      <color rgb="FF000000"/>
      <sz val="10"/>
    </font>
    <font>
      <name val="Arial"/>
      <family val="2"/>
      <b val="1"/>
      <color rgb="FF000000"/>
      <sz val="10"/>
    </font>
    <font>
      <name val="Arial"/>
      <family val="2"/>
      <b val="1"/>
      <color rgb="FF1F3864"/>
      <sz val="10"/>
    </font>
    <font>
      <name val="Arial"/>
      <family val="2"/>
      <sz val="10"/>
    </font>
    <font>
      <name val="Arial"/>
      <family val="2"/>
      <b val="1"/>
      <color rgb="FF1F3864"/>
      <sz val="11"/>
    </font>
    <font>
      <name val="Calibri"/>
      <family val="2"/>
      <color rgb="FF000000"/>
      <sz val="11"/>
    </font>
    <font>
      <name val="Arial"/>
      <b val="1"/>
      <color rgb="001F3864"/>
      <sz val="10"/>
    </font>
    <font>
      <name val="Arial"/>
      <sz val="10"/>
    </font>
  </fonts>
  <fills count="9">
    <fill>
      <patternFill/>
    </fill>
    <fill>
      <patternFill patternType="gray125"/>
    </fill>
    <fill>
      <patternFill patternType="solid">
        <fgColor rgb="FF1F3864"/>
      </patternFill>
    </fill>
    <fill>
      <patternFill patternType="solid">
        <fgColor rgb="FFFFF2CC"/>
      </patternFill>
    </fill>
    <fill>
      <patternFill patternType="solid">
        <fgColor rgb="FFFFFFFF"/>
      </patternFill>
    </fill>
    <fill>
      <patternFill patternType="solid">
        <fgColor rgb="FFFFFFFF"/>
      </patternFill>
    </fill>
    <fill>
      <patternFill patternType="solid">
        <fgColor rgb="FFC6EFCE"/>
      </patternFill>
    </fill>
    <fill>
      <patternFill patternType="solid">
        <fgColor rgb="FFD9E2F3"/>
      </patternFill>
    </fill>
    <fill>
      <patternFill patternType="solid">
        <fgColor rgb="FFFF0000"/>
        <bgColor indexed="64"/>
      </patternFill>
    </fill>
  </fills>
  <borders count="4">
    <border>
      <left/>
      <right/>
      <top/>
      <bottom/>
      <diagonal/>
    </border>
    <border>
      <left style="medium">
        <color rgb="FF7F6000"/>
      </left>
      <right style="medium">
        <color rgb="FF7F6000"/>
      </right>
      <top style="medium">
        <color rgb="FF7F6000"/>
      </top>
      <bottom style="medium">
        <color rgb="FF7F6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8">
    <xf numFmtId="0" fontId="0" fillId="0" borderId="0" pivotButton="0" quotePrefix="0" xfId="0"/>
    <xf numFmtId="0" fontId="3" fillId="0" borderId="0" applyAlignment="1" pivotButton="0" quotePrefix="0" xfId="0">
      <alignment horizontal="left" vertical="center"/>
    </xf>
    <xf numFmtId="164" fontId="5" fillId="3" borderId="1" applyAlignment="1" pivotButton="0" quotePrefix="0" xfId="0">
      <alignment horizontal="center" vertical="center"/>
    </xf>
    <xf numFmtId="0" fontId="4" fillId="0" borderId="0" applyAlignment="1" pivotButton="0" quotePrefix="0" xfId="0">
      <alignment horizontal="left" vertical="center"/>
    </xf>
    <xf numFmtId="1" fontId="5" fillId="3" borderId="1" applyAlignment="1" pivotButton="0" quotePrefix="0" xfId="0">
      <alignment horizontal="center" vertical="center"/>
    </xf>
    <xf numFmtId="2" fontId="5" fillId="3" borderId="1" applyAlignment="1" pivotButton="0" quotePrefix="0" xfId="0">
      <alignment horizontal="center" vertical="center"/>
    </xf>
    <xf numFmtId="0" fontId="8" fillId="0" borderId="0" applyAlignment="1" pivotButton="0" quotePrefix="0" xfId="0">
      <alignment horizontal="center" vertical="center"/>
    </xf>
    <xf numFmtId="0" fontId="9" fillId="0" borderId="0" applyAlignment="1" pivotButton="0" quotePrefix="0" xfId="0">
      <alignment horizontal="center" vertical="center"/>
    </xf>
    <xf numFmtId="0" fontId="6" fillId="2" borderId="2" applyAlignment="1" pivotButton="0" quotePrefix="0" xfId="0">
      <alignment horizontal="center" vertical="center" wrapText="1"/>
    </xf>
    <xf numFmtId="0" fontId="6" fillId="2" borderId="0" applyAlignment="1" pivotButton="0" quotePrefix="0" xfId="0">
      <alignment horizontal="left" vertical="top" wrapText="1"/>
    </xf>
    <xf numFmtId="0" fontId="3" fillId="0" borderId="0" applyAlignment="1" pivotButton="0" quotePrefix="0" xfId="0">
      <alignment horizontal="left" vertical="top" wrapText="1"/>
    </xf>
    <xf numFmtId="0" fontId="10" fillId="0" borderId="0" applyAlignment="1" pivotButton="0" quotePrefix="0" xfId="0">
      <alignment horizontal="left" vertical="top" wrapText="1"/>
    </xf>
    <xf numFmtId="0" fontId="12" fillId="4" borderId="2" applyAlignment="1" pivotButton="0" quotePrefix="0" xfId="0">
      <alignment horizontal="left" vertical="center"/>
    </xf>
    <xf numFmtId="2" fontId="11" fillId="5" borderId="2" applyAlignment="1" pivotButton="0" quotePrefix="0" xfId="0">
      <alignment horizontal="center" vertical="center"/>
    </xf>
    <xf numFmtId="0" fontId="11" fillId="5" borderId="2" applyAlignment="1" pivotButton="0" quotePrefix="0" xfId="0">
      <alignment horizontal="center" vertical="center"/>
    </xf>
    <xf numFmtId="165" fontId="11" fillId="5" borderId="2" applyAlignment="1" pivotButton="0" quotePrefix="0" xfId="0">
      <alignment horizontal="center" vertical="center"/>
    </xf>
    <xf numFmtId="0" fontId="12" fillId="4" borderId="2" applyAlignment="1" pivotButton="0" quotePrefix="0" xfId="0">
      <alignment horizontal="center" vertical="center"/>
    </xf>
    <xf numFmtId="0" fontId="13" fillId="0"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pivotButton="0" quotePrefix="0" xfId="0"/>
    <xf numFmtId="0" fontId="11" fillId="6" borderId="0" pivotButton="0" quotePrefix="0" xfId="0"/>
    <xf numFmtId="0" fontId="11" fillId="7" borderId="0" pivotButton="0" quotePrefix="0" xfId="0"/>
    <xf numFmtId="0" fontId="7" fillId="0" borderId="0" pivotButton="0" quotePrefix="0" xfId="0"/>
    <xf numFmtId="0" fontId="2" fillId="0" borderId="0" applyAlignment="1" pivotButton="0" quotePrefix="0" xfId="0">
      <alignment horizontal="left" vertical="center" wrapText="1"/>
    </xf>
    <xf numFmtId="0" fontId="0" fillId="0" borderId="0" pivotButton="0" quotePrefix="0" xfId="0"/>
    <xf numFmtId="0" fontId="1" fillId="2" borderId="0" applyAlignment="1" pivotButton="0" quotePrefix="0" xfId="0">
      <alignment horizontal="left" vertical="center"/>
    </xf>
    <xf numFmtId="0" fontId="6" fillId="2" borderId="0" applyAlignment="1" pivotButton="0" quotePrefix="0" xfId="0">
      <alignment horizontal="center" vertical="center" wrapText="1"/>
    </xf>
    <xf numFmtId="0" fontId="6" fillId="2" borderId="3" applyAlignment="1" pivotButton="0" quotePrefix="0" xfId="0">
      <alignment horizontal="center" vertical="center" wrapText="1"/>
    </xf>
    <xf numFmtId="0" fontId="12" fillId="4" borderId="3" applyAlignment="1" pivotButton="0" quotePrefix="0" xfId="0">
      <alignment horizontal="center" vertical="center"/>
    </xf>
    <xf numFmtId="0" fontId="12" fillId="0" borderId="0" applyAlignment="1" pivotButton="0" quotePrefix="0" xfId="0">
      <alignment horizontal="left" vertical="center"/>
    </xf>
    <xf numFmtId="0" fontId="0" fillId="0" borderId="0" applyAlignment="1" pivotButton="0" quotePrefix="0" xfId="0">
      <alignment horizontal="left"/>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0" fillId="0" borderId="0" applyAlignment="1" pivotButton="0" quotePrefix="0" xfId="0">
      <alignment horizontal="left"/>
    </xf>
    <xf numFmtId="0" fontId="12" fillId="0" borderId="0" applyAlignment="1" pivotButton="0" quotePrefix="0" xfId="0">
      <alignment vertical="center"/>
    </xf>
    <xf numFmtId="0" fontId="12" fillId="8" borderId="3" applyAlignment="1" pivotButton="0" quotePrefix="0" xfId="0">
      <alignment horizontal="center" vertical="center"/>
    </xf>
    <xf numFmtId="0" fontId="17" fillId="0" borderId="0" applyAlignment="1" pivotButton="0" quotePrefix="0" xfId="0">
      <alignment horizontal="left" vertical="top" wrapText="1"/>
    </xf>
    <xf numFmtId="0" fontId="18" fillId="0" borderId="0" applyAlignment="1" pivotButton="0" quotePrefix="0" xfId="0">
      <alignment horizontal="left" vertical="top" wrapText="1"/>
    </xf>
  </cellXfs>
  <cellStyles count="1">
    <cellStyle name="Normal" xfId="0" builtinId="0"/>
  </cellStyles>
  <dxfs count="16">
    <dxf>
      <font>
        <name val="Arial"/>
        <b val="1"/>
        <color rgb="FF000000"/>
        <sz val="10"/>
      </font>
      <fill>
        <patternFill patternType="solid">
          <fgColor rgb="FFD9E2F3"/>
          <bgColor rgb="FFD9E2F3"/>
        </patternFill>
      </fill>
    </dxf>
    <dxf>
      <font>
        <name val="Arial"/>
        <b val="1"/>
        <color rgb="FF000000"/>
        <sz val="10"/>
      </font>
      <fill>
        <patternFill patternType="solid">
          <fgColor rgb="FFC6EFCE"/>
          <bgColor rgb="FFC6EFCE"/>
        </patternFill>
      </fill>
    </dxf>
    <dxf>
      <font>
        <name val="Arial"/>
        <color rgb="FF000000"/>
        <sz val="10"/>
      </font>
      <fill>
        <patternFill patternType="solid">
          <fgColor rgb="FFD9E2F3"/>
          <bgColor rgb="FFD9E2F3"/>
        </patternFill>
      </fill>
    </dxf>
    <dxf>
      <font>
        <name val="Arial"/>
        <color rgb="FF000000"/>
        <sz val="10"/>
      </font>
      <fill>
        <patternFill patternType="solid">
          <fgColor rgb="FFC6EFCE"/>
          <bgColor rgb="FFC6EFCE"/>
        </patternFill>
      </fill>
    </dxf>
    <dxf>
      <font>
        <name val="Arial"/>
        <b val="1"/>
        <color rgb="FF000000"/>
        <sz val="10"/>
      </font>
      <fill>
        <patternFill patternType="solid">
          <fgColor rgb="FFD9E2F3"/>
          <bgColor rgb="FFD9E2F3"/>
        </patternFill>
      </fill>
    </dxf>
    <dxf>
      <font>
        <name val="Arial"/>
        <b val="1"/>
        <color rgb="FF000000"/>
        <sz val="10"/>
      </font>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D9E2F3"/>
          <bgColor rgb="FFD9E2F3"/>
        </patternFill>
      </fill>
    </dxf>
    <dxf>
      <fill>
        <patternFill patternType="solid">
          <fgColor rgb="FFD9E2F3"/>
          <bgColor rgb="FFD9E2F3"/>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GUF</author>
  </authors>
  <commentList>
    <comment ref="B3" authorId="0" shapeId="0">
      <text>
        <t>DI threshold 'above minimum' (lower bar, for invitation). Columns 'GU level' and 'Invite to GU' recalculate automatically.</t>
      </text>
    </comment>
    <comment ref="C3" authorId="0" shapeId="0">
      <text>
        <t>CPI threshold 'above minimum'.</t>
      </text>
    </comment>
    <comment ref="D3" authorId="0" shapeId="0">
      <text>
        <t>HRI threshold 'above minimum' (0-1 scale).</t>
      </text>
    </comment>
    <comment ref="B4" authorId="0" shapeId="0">
      <text>
        <t>DI threshold 'meets standard' (higher bar, for full membership).</t>
      </text>
    </comment>
    <comment ref="C4" authorId="0" shapeId="0">
      <text>
        <t>CPI threshold 'meets standard'.</t>
      </text>
    </comment>
    <comment ref="D4" authorId="0" shapeId="0">
      <text>
        <t>HRI threshold 'meets standard' (0-1 scale).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194"/>
  <sheetViews>
    <sheetView tabSelected="1" workbookViewId="0">
      <pane xSplit="1" ySplit="5" topLeftCell="B6" activePane="bottomRight" state="frozen"/>
      <selection pane="topRight" activeCell="A1" sqref="A1"/>
      <selection pane="bottomLeft" activeCell="A1" sqref="A1"/>
      <selection pane="bottomRight" activeCell="G39" sqref="G39"/>
    </sheetView>
  </sheetViews>
  <sheetFormatPr baseColWidth="10" defaultColWidth="8.83203125" defaultRowHeight="15"/>
  <cols>
    <col width="32" customWidth="1" style="24" min="1" max="1"/>
    <col width="22" customWidth="1" style="24" min="2" max="2"/>
    <col width="16" customWidth="1" style="24" min="3" max="3"/>
    <col width="20" customWidth="1" style="24" min="4" max="4"/>
    <col width="16" customWidth="1" style="24" min="5" max="5"/>
    <col width="12" customWidth="1" style="24" min="6" max="6"/>
    <col width="16" customWidth="1" style="24" min="7" max="7"/>
    <col width="55.6640625" bestFit="1" customWidth="1" style="33" min="8" max="8"/>
  </cols>
  <sheetData>
    <row r="1" ht="26" customHeight="1" s="24">
      <c r="A1" s="25" t="inlineStr">
        <is>
          <t>Democracy Index 2025 (EIU) &amp; Corruption Perceptions Index 2025 (TI) &amp; Human Rights Index 2025 (V-Dem)</t>
        </is>
      </c>
    </row>
    <row r="2" ht="28" customHeight="1" s="24">
      <c r="A2" s="23" t="inlineStr">
        <is>
          <t>DI: 0-10, higher = more democratic (167 countries). CPI: 0-100, higher = less corrupt (182 countries). HRI: 0-1, higher = more civil liberties (175 countries, V-Dem 2025 edition). All indices are matched per country; a blank cell means the country is not covered by that index. See tab 'Sources &amp; Notes'.</t>
        </is>
      </c>
    </row>
    <row r="3" ht="20" customHeight="1" s="24">
      <c r="A3" s="1" t="inlineStr">
        <is>
          <t>Threshold 'Above minimum'</t>
        </is>
      </c>
      <c r="B3" s="2" t="n">
        <v>6</v>
      </c>
      <c r="C3" s="4" t="n">
        <v>40</v>
      </c>
      <c r="D3" s="5" t="n">
        <v>0.7</v>
      </c>
      <c r="E3" s="3" t="n"/>
      <c r="F3" s="3" t="n"/>
      <c r="G3" s="6">
        <f>COUNTIF(G6:G188,"Yes") &amp; " countries invited"</f>
        <v/>
      </c>
      <c r="H3" s="31" t="n"/>
    </row>
    <row r="4" ht="20" customHeight="1" s="24">
      <c r="A4" s="1" t="inlineStr">
        <is>
          <t>Threshold 'Meets standard'</t>
        </is>
      </c>
      <c r="B4" s="2" t="n">
        <v>8</v>
      </c>
      <c r="C4" s="4" t="n">
        <v>70</v>
      </c>
      <c r="D4" s="5" t="n">
        <v>0.75</v>
      </c>
      <c r="E4" s="3" t="n"/>
      <c r="F4" s="3" t="n"/>
      <c r="G4" s="7">
        <f>COUNTIF(E6:E188,"Above minimum") &amp; " above minimum"</f>
        <v/>
      </c>
      <c r="H4" s="32" t="n"/>
    </row>
    <row r="5" ht="30" customHeight="1" s="24">
      <c r="A5" s="8" t="inlineStr">
        <is>
          <t>Country</t>
        </is>
      </c>
      <c r="B5" s="8" t="inlineStr">
        <is>
          <t>Democracy Index 2025 (score)</t>
        </is>
      </c>
      <c r="C5" s="8" t="inlineStr">
        <is>
          <t>CPI 2025 (score)</t>
        </is>
      </c>
      <c r="D5" s="8" t="inlineStr">
        <is>
          <t>Human Rights Index 2025 (score)</t>
        </is>
      </c>
      <c r="E5" s="8" t="inlineStr">
        <is>
          <t>GU level</t>
        </is>
      </c>
      <c r="F5" s="8" t="inlineStr">
        <is>
          <t>category</t>
        </is>
      </c>
      <c r="G5" s="27" t="inlineStr">
        <is>
          <t>Invite to GU</t>
        </is>
      </c>
      <c r="H5" s="26" t="inlineStr">
        <is>
          <t>Remarks</t>
        </is>
      </c>
    </row>
    <row r="6">
      <c r="A6" s="12" t="inlineStr">
        <is>
          <t>Norway</t>
        </is>
      </c>
      <c r="B6" s="13" t="n">
        <v>9.81</v>
      </c>
      <c r="C6" s="14" t="n">
        <v>81</v>
      </c>
      <c r="D6" s="15" t="n">
        <v>0.947</v>
      </c>
      <c r="E6" s="16">
        <f>IF(OR(B6="",C6="",D6=""),"Insufficient data",IF(AND(B6&gt;=$B$4,C6&gt;=$C$4,D6&gt;=$D$4),"Meets standard",IF(AND(B6&gt;=$B$3,C6&gt;=$C$3,D6&gt;=$D$3),"Above minimum","Below minimum")))</f>
        <v/>
      </c>
      <c r="F6" s="16" t="n">
        <v>1</v>
      </c>
      <c r="G6" s="28">
        <f>IF(OR(B6="",C6="",D6=""),"n/a",IF(AND(B6&gt;=$B$3,C6&gt;=$C$3,D6&gt;=$D$3),"Yes","No"))</f>
        <v/>
      </c>
      <c r="H6" s="29" t="n"/>
    </row>
    <row r="7">
      <c r="A7" s="12" t="inlineStr">
        <is>
          <t>New Zealand</t>
        </is>
      </c>
      <c r="B7" s="13" t="n">
        <v>9.619999999999999</v>
      </c>
      <c r="C7" s="14" t="n">
        <v>81</v>
      </c>
      <c r="D7" s="15" t="n">
        <v>0.948</v>
      </c>
      <c r="E7" s="16">
        <f>IF(OR(B7="",C7="",D7=""),"Insufficient data",IF(AND(B7&gt;=$B$4,C7&gt;=$C$4,D7&gt;=$D$4),"Meets standard",IF(AND(B7&gt;=$B$3,C7&gt;=$C$3,D7&gt;=$D$3),"Above minimum","Below minimum")))</f>
        <v/>
      </c>
      <c r="F7" s="16" t="n">
        <v>1</v>
      </c>
      <c r="G7" s="28">
        <f>IF(OR(B7="",C7="",D7=""),"n/a",IF(AND(B7&gt;=$B$3,C7&gt;=$C$3,D7&gt;=$D$3),"Yes","No"))</f>
        <v/>
      </c>
      <c r="H7" s="29" t="n"/>
    </row>
    <row r="8">
      <c r="A8" s="12" t="inlineStr">
        <is>
          <t>Denmark</t>
        </is>
      </c>
      <c r="B8" s="13" t="n">
        <v>9.42</v>
      </c>
      <c r="C8" s="14" t="n">
        <v>89</v>
      </c>
      <c r="D8" s="15" t="n">
        <v>0.959</v>
      </c>
      <c r="E8" s="16">
        <f>IF(OR(B8="",C8="",D8=""),"Insufficient data",IF(AND(B8&gt;=$B$4,C8&gt;=$C$4,D8&gt;=$D$4),"Meets standard",IF(AND(B8&gt;=$B$3,C8&gt;=$C$3,D8&gt;=$D$3),"Above minimum","Below minimum")))</f>
        <v/>
      </c>
      <c r="F8" s="16" t="n">
        <v>1</v>
      </c>
      <c r="G8" s="28">
        <f>IF(OR(B8="",C8="",D8=""),"n/a",IF(AND(B8&gt;=$B$3,C8&gt;=$C$3,D8&gt;=$D$3),"Yes","No"))</f>
        <v/>
      </c>
      <c r="H8" s="29" t="n"/>
    </row>
    <row r="9">
      <c r="A9" s="12" t="inlineStr">
        <is>
          <t>Iceland</t>
        </is>
      </c>
      <c r="B9" s="13" t="n">
        <v>9.380000000000001</v>
      </c>
      <c r="C9" s="14" t="n">
        <v>77</v>
      </c>
      <c r="D9" s="15" t="n">
        <v>0.95</v>
      </c>
      <c r="E9" s="16">
        <f>IF(OR(B9="",C9="",D9=""),"Insufficient data",IF(AND(B9&gt;=$B$4,C9&gt;=$C$4,D9&gt;=$D$4),"Meets standard",IF(AND(B9&gt;=$B$3,C9&gt;=$C$3,D9&gt;=$D$3),"Above minimum","Below minimum")))</f>
        <v/>
      </c>
      <c r="F9" s="16" t="n">
        <v>1</v>
      </c>
      <c r="G9" s="28">
        <f>IF(OR(B9="",C9="",D9=""),"n/a",IF(AND(B9&gt;=$B$3,C9&gt;=$C$3,D9&gt;=$D$3),"Yes","No"))</f>
        <v/>
      </c>
      <c r="H9" s="29" t="n"/>
    </row>
    <row r="10">
      <c r="A10" s="12" t="inlineStr">
        <is>
          <t>Finland</t>
        </is>
      </c>
      <c r="B10" s="13" t="n">
        <v>9.369999999999999</v>
      </c>
      <c r="C10" s="14" t="n">
        <v>88</v>
      </c>
      <c r="D10" s="15" t="n">
        <v>0.947</v>
      </c>
      <c r="E10" s="16">
        <f>IF(OR(B10="",C10="",D10=""),"Insufficient data",IF(AND(B10&gt;=$B$4,C10&gt;=$C$4,D10&gt;=$D$4),"Meets standard",IF(AND(B10&gt;=$B$3,C10&gt;=$C$3,D10&gt;=$D$3),"Above minimum","Below minimum")))</f>
        <v/>
      </c>
      <c r="F10" s="16" t="n">
        <v>1</v>
      </c>
      <c r="G10" s="28">
        <f>IF(OR(B10="",C10="",D10=""),"n/a",IF(AND(B10&gt;=$B$3,C10&gt;=$C$3,D10&gt;=$D$3),"Yes","No"))</f>
        <v/>
      </c>
      <c r="H10" s="29" t="n"/>
    </row>
    <row r="11">
      <c r="A11" s="12" t="inlineStr">
        <is>
          <t>Sweden</t>
        </is>
      </c>
      <c r="B11" s="13" t="n">
        <v>9.35</v>
      </c>
      <c r="C11" s="14" t="n">
        <v>80</v>
      </c>
      <c r="D11" s="15" t="n">
        <v>0.96</v>
      </c>
      <c r="E11" s="16">
        <f>IF(OR(B11="",C11="",D11=""),"Insufficient data",IF(AND(B11&gt;=$B$4,C11&gt;=$C$4,D11&gt;=$D$4),"Meets standard",IF(AND(B11&gt;=$B$3,C11&gt;=$C$3,D11&gt;=$D$3),"Above minimum","Below minimum")))</f>
        <v/>
      </c>
      <c r="F11" s="16" t="n">
        <v>1</v>
      </c>
      <c r="G11" s="28">
        <f>IF(OR(B11="",C11="",D11=""),"n/a",IF(AND(B11&gt;=$B$3,C11&gt;=$C$3,D11&gt;=$D$3),"Yes","No"))</f>
        <v/>
      </c>
      <c r="H11" s="29" t="n"/>
    </row>
    <row r="12">
      <c r="A12" s="12" t="inlineStr">
        <is>
          <t>Ireland</t>
        </is>
      </c>
      <c r="B12" s="13" t="n">
        <v>9.33</v>
      </c>
      <c r="C12" s="14" t="n">
        <v>76</v>
      </c>
      <c r="D12" s="15" t="n">
        <v>0.956</v>
      </c>
      <c r="E12" s="16">
        <f>IF(OR(B12="",C12="",D12=""),"Insufficient data",IF(AND(B12&gt;=$B$4,C12&gt;=$C$4,D12&gt;=$D$4),"Meets standard",IF(AND(B12&gt;=$B$3,C12&gt;=$C$3,D12&gt;=$D$3),"Above minimum","Below minimum")))</f>
        <v/>
      </c>
      <c r="F12" s="16" t="n">
        <v>1</v>
      </c>
      <c r="G12" s="28">
        <f>IF(OR(B12="",C12="",D12=""),"n/a",IF(AND(B12&gt;=$B$3,C12&gt;=$C$3,D12&gt;=$D$3),"Yes","No"))</f>
        <v/>
      </c>
      <c r="H12" s="29" t="n"/>
    </row>
    <row r="13">
      <c r="A13" s="12" t="inlineStr">
        <is>
          <t>Switzerland</t>
        </is>
      </c>
      <c r="B13" s="13" t="n">
        <v>9.32</v>
      </c>
      <c r="C13" s="14" t="n">
        <v>80</v>
      </c>
      <c r="D13" s="15" t="n">
        <v>0.95</v>
      </c>
      <c r="E13" s="16">
        <f>IF(OR(B13="",C13="",D13=""),"Insufficient data",IF(AND(B13&gt;=$B$4,C13&gt;=$C$4,D13&gt;=$D$4),"Meets standard",IF(AND(B13&gt;=$B$3,C13&gt;=$C$3,D13&gt;=$D$3),"Above minimum","Below minimum")))</f>
        <v/>
      </c>
      <c r="F13" s="16" t="n">
        <v>1</v>
      </c>
      <c r="G13" s="28">
        <f>IF(OR(B13="",C13="",D13=""),"n/a",IF(AND(B13&gt;=$B$3,C13&gt;=$C$3,D13&gt;=$D$3),"Yes","No"))</f>
        <v/>
      </c>
      <c r="H13" s="29" t="n"/>
    </row>
    <row r="14">
      <c r="A14" s="12" t="inlineStr">
        <is>
          <t>Luxembourg</t>
        </is>
      </c>
      <c r="B14" s="13" t="n">
        <v>9.08</v>
      </c>
      <c r="C14" s="14" t="n">
        <v>78</v>
      </c>
      <c r="D14" s="15" t="n">
        <v>0.946</v>
      </c>
      <c r="E14" s="16">
        <f>IF(OR(B14="",C14="",D14=""),"Insufficient data",IF(AND(B14&gt;=$B$4,C14&gt;=$C$4,D14&gt;=$D$4),"Meets standard",IF(AND(B14&gt;=$B$3,C14&gt;=$C$3,D14&gt;=$D$3),"Above minimum","Below minimum")))</f>
        <v/>
      </c>
      <c r="F14" s="16" t="n">
        <v>1</v>
      </c>
      <c r="G14" s="28">
        <f>IF(OR(B14="",C14="",D14=""),"n/a",IF(AND(B14&gt;=$B$3,C14&gt;=$C$3,D14&gt;=$D$3),"Yes","No"))</f>
        <v/>
      </c>
      <c r="H14" s="29" t="n"/>
    </row>
    <row r="15">
      <c r="A15" s="12" t="inlineStr">
        <is>
          <t>Canada</t>
        </is>
      </c>
      <c r="B15" s="13" t="n">
        <v>9.08</v>
      </c>
      <c r="C15" s="14" t="n">
        <v>75</v>
      </c>
      <c r="D15" s="15" t="n">
        <v>0.897</v>
      </c>
      <c r="E15" s="16">
        <f>IF(OR(B15="",C15="",D15=""),"Insufficient data",IF(AND(B15&gt;=$B$4,C15&gt;=$C$4,D15&gt;=$D$4),"Meets standard",IF(AND(B15&gt;=$B$3,C15&gt;=$C$3,D15&gt;=$D$3),"Above minimum","Below minimum")))</f>
        <v/>
      </c>
      <c r="F15" s="16" t="n">
        <v>1</v>
      </c>
      <c r="G15" s="28">
        <f>IF(OR(B15="",C15="",D15=""),"n/a",IF(AND(B15&gt;=$B$3,C15&gt;=$C$3,D15&gt;=$D$3),"Yes","No"))</f>
        <v/>
      </c>
      <c r="H15" s="29" t="n"/>
    </row>
    <row r="16">
      <c r="A16" s="12" t="inlineStr">
        <is>
          <t>Netherlands</t>
        </is>
      </c>
      <c r="B16" s="13" t="n">
        <v>8.93</v>
      </c>
      <c r="C16" s="14" t="n">
        <v>78</v>
      </c>
      <c r="D16" s="15" t="n">
        <v>0.912</v>
      </c>
      <c r="E16" s="16">
        <f>IF(OR(B16="",C16="",D16=""),"Insufficient data",IF(AND(B16&gt;=$B$4,C16&gt;=$C$4,D16&gt;=$D$4),"Meets standard",IF(AND(B16&gt;=$B$3,C16&gt;=$C$3,D16&gt;=$D$3),"Above minimum","Below minimum")))</f>
        <v/>
      </c>
      <c r="F16" s="16" t="n">
        <v>1</v>
      </c>
      <c r="G16" s="28">
        <f>IF(OR(B16="",C16="",D16=""),"n/a",IF(AND(B16&gt;=$B$3,C16&gt;=$C$3,D16&gt;=$D$3),"Yes","No"))</f>
        <v/>
      </c>
      <c r="H16" s="29" t="n"/>
    </row>
    <row r="17">
      <c r="A17" s="12" t="inlineStr">
        <is>
          <t>Uruguay</t>
        </is>
      </c>
      <c r="B17" s="13" t="n">
        <v>8.92</v>
      </c>
      <c r="C17" s="14" t="n">
        <v>73</v>
      </c>
      <c r="D17" s="15" t="n">
        <v>0.9320000000000001</v>
      </c>
      <c r="E17" s="16">
        <f>IF(OR(B17="",C17="",D17=""),"Insufficient data",IF(AND(B17&gt;=$B$4,C17&gt;=$C$4,D17&gt;=$D$4),"Meets standard",IF(AND(B17&gt;=$B$3,C17&gt;=$C$3,D17&gt;=$D$3),"Above minimum","Below minimum")))</f>
        <v/>
      </c>
      <c r="F17" s="16" t="n">
        <v>1</v>
      </c>
      <c r="G17" s="28">
        <f>IF(OR(B17="",C17="",D17=""),"n/a",IF(AND(B17&gt;=$B$3,C17&gt;=$C$3,D17&gt;=$D$3),"Yes","No"))</f>
        <v/>
      </c>
      <c r="H17" s="29" t="n"/>
    </row>
    <row r="18">
      <c r="A18" s="12" t="inlineStr">
        <is>
          <t>Australia</t>
        </is>
      </c>
      <c r="B18" s="13" t="n">
        <v>8.85</v>
      </c>
      <c r="C18" s="14" t="n">
        <v>76</v>
      </c>
      <c r="D18" s="15" t="n">
        <v>0.906</v>
      </c>
      <c r="E18" s="16">
        <f>IF(OR(B18="",C18="",D18=""),"Insufficient data",IF(AND(B18&gt;=$B$4,C18&gt;=$C$4,D18&gt;=$D$4),"Meets standard",IF(AND(B18&gt;=$B$3,C18&gt;=$C$3,D18&gt;=$D$3),"Above minimum","Below minimum")))</f>
        <v/>
      </c>
      <c r="F18" s="16" t="n">
        <v>1</v>
      </c>
      <c r="G18" s="28">
        <f>IF(OR(B18="",C18="",D18=""),"n/a",IF(AND(B18&gt;=$B$3,C18&gt;=$C$3,D18&gt;=$D$3),"Yes","No"))</f>
        <v/>
      </c>
      <c r="H18" s="29" t="n"/>
    </row>
    <row r="19">
      <c r="A19" s="12" t="inlineStr">
        <is>
          <t>Japan</t>
        </is>
      </c>
      <c r="B19" s="13" t="n">
        <v>8.85</v>
      </c>
      <c r="C19" s="14" t="n">
        <v>71</v>
      </c>
      <c r="D19" s="15" t="n">
        <v>0.925</v>
      </c>
      <c r="E19" s="16">
        <f>IF(OR(B19="",C19="",D19=""),"Insufficient data",IF(AND(B19&gt;=$B$4,C19&gt;=$C$4,D19&gt;=$D$4),"Meets standard",IF(AND(B19&gt;=$B$3,C19&gt;=$C$3,D19&gt;=$D$3),"Above minimum","Below minimum")))</f>
        <v/>
      </c>
      <c r="F19" s="16" t="n">
        <v>1</v>
      </c>
      <c r="G19" s="28">
        <f>IF(OR(B19="",C19="",D19=""),"n/a",IF(AND(B19&gt;=$B$3,C19&gt;=$C$3,D19&gt;=$D$3),"Yes","No"))</f>
        <v/>
      </c>
      <c r="H19" s="29" t="n"/>
    </row>
    <row r="20">
      <c r="A20" s="12" t="inlineStr">
        <is>
          <t>Germany</t>
        </is>
      </c>
      <c r="B20" s="13" t="n">
        <v>8.73</v>
      </c>
      <c r="C20" s="14" t="n">
        <v>77</v>
      </c>
      <c r="D20" s="15" t="n">
        <v>0.9399999999999999</v>
      </c>
      <c r="E20" s="16">
        <f>IF(OR(B20="",C20="",D20=""),"Insufficient data",IF(AND(B20&gt;=$B$4,C20&gt;=$C$4,D20&gt;=$D$4),"Meets standard",IF(AND(B20&gt;=$B$3,C20&gt;=$C$3,D20&gt;=$D$3),"Above minimum","Below minimum")))</f>
        <v/>
      </c>
      <c r="F20" s="16" t="n">
        <v>1</v>
      </c>
      <c r="G20" s="28">
        <f>IF(OR(B20="",C20="",D20=""),"n/a",IF(AND(B20&gt;=$B$3,C20&gt;=$C$3,D20&gt;=$D$3),"Yes","No"))</f>
        <v/>
      </c>
      <c r="H20" s="29" t="n"/>
    </row>
    <row r="21">
      <c r="A21" s="12" t="inlineStr">
        <is>
          <t>United Kingdom</t>
        </is>
      </c>
      <c r="B21" s="13" t="n">
        <v>8.34</v>
      </c>
      <c r="C21" s="14" t="n">
        <v>70</v>
      </c>
      <c r="D21" s="15" t="n">
        <v>0.844</v>
      </c>
      <c r="E21" s="16">
        <f>IF(OR(B21="",C21="",D21=""),"Insufficient data",IF(AND(B21&gt;=$B$4,C21&gt;=$C$4,D21&gt;=$D$4),"Meets standard",IF(AND(B21&gt;=$B$3,C21&gt;=$C$3,D21&gt;=$D$3),"Above minimum","Below minimum")))</f>
        <v/>
      </c>
      <c r="F21" s="16" t="n">
        <v>1</v>
      </c>
      <c r="G21" s="28">
        <f>IF(OR(B21="",C21="",D21=""),"n/a",IF(AND(B21&gt;=$B$3,C21&gt;=$C$3,D21&gt;=$D$3),"Yes","No"))</f>
        <v/>
      </c>
      <c r="H21" s="29" t="n"/>
    </row>
    <row r="22">
      <c r="A22" s="12" t="inlineStr">
        <is>
          <t>Estonia</t>
        </is>
      </c>
      <c r="B22" s="13" t="n">
        <v>8.07</v>
      </c>
      <c r="C22" s="14" t="n">
        <v>76</v>
      </c>
      <c r="D22" s="15" t="n">
        <v>0.963</v>
      </c>
      <c r="E22" s="16">
        <f>IF(OR(B22="",C22="",D22=""),"Insufficient data",IF(AND(B22&gt;=$B$4,C22&gt;=$C$4,D22&gt;=$D$4),"Meets standard",IF(AND(B22&gt;=$B$3,C22&gt;=$C$3,D22&gt;=$D$3),"Above minimum","Below minimum")))</f>
        <v/>
      </c>
      <c r="F22" s="16" t="n">
        <v>1</v>
      </c>
      <c r="G22" s="28">
        <f>IF(OR(B22="",C22="",D22=""),"n/a",IF(AND(B22&gt;=$B$3,C22&gt;=$C$3,D22&gt;=$D$3),"Yes","No"))</f>
        <v/>
      </c>
      <c r="H22" s="29" t="n"/>
    </row>
    <row r="23">
      <c r="A23" s="12" t="inlineStr">
        <is>
          <t>Taiwan</t>
        </is>
      </c>
      <c r="B23" s="13" t="n">
        <v>8.779999999999999</v>
      </c>
      <c r="C23" s="14" t="n">
        <v>68</v>
      </c>
      <c r="D23" s="15" t="n">
        <v>0.93</v>
      </c>
      <c r="E23" s="16">
        <f>IF(OR(B23="",C23="",D23=""),"Insufficient data",IF(AND(B23&gt;=$B$4,C23&gt;=$C$4,D23&gt;=$D$4),"Meets standard",IF(AND(B23&gt;=$B$3,C23&gt;=$C$3,D23&gt;=$D$3),"Above minimum","Below minimum")))</f>
        <v/>
      </c>
      <c r="F23" s="16" t="n">
        <v>2</v>
      </c>
      <c r="G23" s="28" t="inlineStr">
        <is>
          <t>separate status</t>
        </is>
      </c>
      <c r="H23" s="29" t="inlineStr">
        <is>
          <t>No UN recognition; a separate status is conceivable by analogy with the WTO (member as a separate customs territory).</t>
        </is>
      </c>
    </row>
    <row r="24">
      <c r="A24" s="12" t="inlineStr">
        <is>
          <t>Austria</t>
        </is>
      </c>
      <c r="B24" s="13" t="n">
        <v>8.42</v>
      </c>
      <c r="C24" s="14" t="n">
        <v>69</v>
      </c>
      <c r="D24" s="15" t="n">
        <v>0.907</v>
      </c>
      <c r="E24" s="16">
        <f>IF(OR(B24="",C24="",D24=""),"Insufficient data",IF(AND(B24&gt;=$B$4,C24&gt;=$C$4,D24&gt;=$D$4),"Meets standard",IF(AND(B24&gt;=$B$3,C24&gt;=$C$3,D24&gt;=$D$3),"Above minimum","Below minimum")))</f>
        <v/>
      </c>
      <c r="F24" s="16" t="n">
        <v>2</v>
      </c>
      <c r="G24" s="28">
        <f>IF(OR(B24="",C24="",D24=""),"n/a",IF(AND(B24&gt;=$B$3,C24&gt;=$C$3,D24&gt;=$D$3),"Yes","No"))</f>
        <v/>
      </c>
      <c r="H24" s="29" t="n"/>
    </row>
    <row r="25">
      <c r="A25" s="12" t="inlineStr">
        <is>
          <t>Costa Rica</t>
        </is>
      </c>
      <c r="B25" s="13" t="n">
        <v>8.289999999999999</v>
      </c>
      <c r="C25" s="14" t="n">
        <v>56</v>
      </c>
      <c r="D25" s="15" t="n">
        <v>0.931</v>
      </c>
      <c r="E25" s="16">
        <f>IF(OR(B25="",C25="",D25=""),"Insufficient data",IF(AND(B25&gt;=$B$4,C25&gt;=$C$4,D25&gt;=$D$4),"Meets standard",IF(AND(B25&gt;=$B$3,C25&gt;=$C$3,D25&gt;=$D$3),"Above minimum","Below minimum")))</f>
        <v/>
      </c>
      <c r="F25" s="16" t="n">
        <v>2</v>
      </c>
      <c r="G25" s="28">
        <f>IF(OR(B25="",C25="",D25=""),"n/a",IF(AND(B25&gt;=$B$3,C25&gt;=$C$3,D25&gt;=$D$3),"Yes","No"))</f>
        <v/>
      </c>
      <c r="H25" s="29" t="n"/>
    </row>
    <row r="26">
      <c r="A26" s="12" t="inlineStr">
        <is>
          <t>Portugal</t>
        </is>
      </c>
      <c r="B26" s="13" t="n">
        <v>8.279999999999999</v>
      </c>
      <c r="C26" s="14" t="n">
        <v>56</v>
      </c>
      <c r="D26" s="15" t="n">
        <v>0.836</v>
      </c>
      <c r="E26" s="16">
        <f>IF(OR(B26="",C26="",D26=""),"Insufficient data",IF(AND(B26&gt;=$B$4,C26&gt;=$C$4,D26&gt;=$D$4),"Meets standard",IF(AND(B26&gt;=$B$3,C26&gt;=$C$3,D26&gt;=$D$3),"Above minimum","Below minimum")))</f>
        <v/>
      </c>
      <c r="F26" s="16" t="n">
        <v>2</v>
      </c>
      <c r="G26" s="28">
        <f>IF(OR(B26="",C26="",D26=""),"n/a",IF(AND(B26&gt;=$B$3,C26&gt;=$C$3,D26&gt;=$D$3),"Yes","No"))</f>
        <v/>
      </c>
      <c r="H26" s="29" t="n"/>
    </row>
    <row r="27">
      <c r="A27" s="12" t="inlineStr">
        <is>
          <t>Mauritius</t>
        </is>
      </c>
      <c r="B27" s="13" t="n">
        <v>8.23</v>
      </c>
      <c r="C27" s="14" t="n">
        <v>48</v>
      </c>
      <c r="D27" s="15" t="n">
        <v>0.873</v>
      </c>
      <c r="E27" s="16">
        <f>IF(OR(B27="",C27="",D27=""),"Insufficient data",IF(AND(B27&gt;=$B$4,C27&gt;=$C$4,D27&gt;=$D$4),"Meets standard",IF(AND(B27&gt;=$B$3,C27&gt;=$C$3,D27&gt;=$D$3),"Above minimum","Below minimum")))</f>
        <v/>
      </c>
      <c r="F27" s="16" t="n">
        <v>2</v>
      </c>
      <c r="G27" s="28">
        <f>IF(OR(B27="",C27="",D27=""),"n/a",IF(AND(B27&gt;=$B$3,C27&gt;=$C$3,D27&gt;=$D$3),"Yes","No"))</f>
        <v/>
      </c>
      <c r="H27" s="29" t="n"/>
    </row>
    <row r="28">
      <c r="A28" s="12" t="inlineStr">
        <is>
          <t>Spain</t>
        </is>
      </c>
      <c r="B28" s="13" t="n">
        <v>8.199999999999999</v>
      </c>
      <c r="C28" s="14" t="n">
        <v>55</v>
      </c>
      <c r="D28" s="15" t="n">
        <v>0.9419999999999999</v>
      </c>
      <c r="E28" s="16">
        <f>IF(OR(B28="",C28="",D28=""),"Insufficient data",IF(AND(B28&gt;=$B$4,C28&gt;=$C$4,D28&gt;=$D$4),"Meets standard",IF(AND(B28&gt;=$B$3,C28&gt;=$C$3,D28&gt;=$D$3),"Above minimum","Below minimum")))</f>
        <v/>
      </c>
      <c r="F28" s="16" t="n">
        <v>2</v>
      </c>
      <c r="G28" s="28">
        <f>IF(OR(B28="",C28="",D28=""),"n/a",IF(AND(B28&gt;=$B$3,C28&gt;=$C$3,D28&gt;=$D$3),"Yes","No"))</f>
        <v/>
      </c>
      <c r="H28" s="29" t="n"/>
    </row>
    <row r="29">
      <c r="A29" s="12" t="inlineStr">
        <is>
          <t>Czech Republic</t>
        </is>
      </c>
      <c r="B29" s="13" t="n">
        <v>8.15</v>
      </c>
      <c r="C29" s="14" t="n">
        <v>59</v>
      </c>
      <c r="D29" s="15" t="n">
        <v>0.948</v>
      </c>
      <c r="E29" s="16">
        <f>IF(OR(B29="",C29="",D29=""),"Insufficient data",IF(AND(B29&gt;=$B$4,C29&gt;=$C$4,D29&gt;=$D$4),"Meets standard",IF(AND(B29&gt;=$B$3,C29&gt;=$C$3,D29&gt;=$D$3),"Above minimum","Below minimum")))</f>
        <v/>
      </c>
      <c r="F29" s="16" t="n">
        <v>2</v>
      </c>
      <c r="G29" s="28">
        <f>IF(OR(B29="",C29="",D29=""),"n/a",IF(AND(B29&gt;=$B$3,C29&gt;=$C$3,D29&gt;=$D$3),"Yes","No"))</f>
        <v/>
      </c>
      <c r="H29" s="29" t="n"/>
    </row>
    <row r="30">
      <c r="A30" s="12" t="inlineStr">
        <is>
          <t>Greece</t>
        </is>
      </c>
      <c r="B30" s="13" t="n">
        <v>8.07</v>
      </c>
      <c r="C30" s="14" t="n">
        <v>50</v>
      </c>
      <c r="D30" s="15" t="n">
        <v>0.878</v>
      </c>
      <c r="E30" s="16">
        <f>IF(OR(B30="",C30="",D30=""),"Insufficient data",IF(AND(B30&gt;=$B$4,C30&gt;=$C$4,D30&gt;=$D$4),"Meets standard",IF(AND(B30&gt;=$B$3,C30&gt;=$C$3,D30&gt;=$D$3),"Above minimum","Below minimum")))</f>
        <v/>
      </c>
      <c r="F30" s="16" t="n">
        <v>2</v>
      </c>
      <c r="G30" s="28">
        <f>IF(OR(B30="",C30="",D30=""),"n/a",IF(AND(B30&gt;=$B$3,C30&gt;=$C$3,D30&gt;=$D$3),"Yes","No"))</f>
        <v/>
      </c>
      <c r="H30" s="29" t="n"/>
    </row>
    <row r="31">
      <c r="A31" s="12" t="inlineStr">
        <is>
          <t>France</t>
        </is>
      </c>
      <c r="B31" s="13" t="n">
        <v>8.050000000000001</v>
      </c>
      <c r="C31" s="14" t="n">
        <v>66</v>
      </c>
      <c r="D31" s="15" t="n">
        <v>0.917</v>
      </c>
      <c r="E31" s="16">
        <f>IF(OR(B31="",C31="",D31=""),"Insufficient data",IF(AND(B31&gt;=$B$4,C31&gt;=$C$4,D31&gt;=$D$4),"Meets standard",IF(AND(B31&gt;=$B$3,C31&gt;=$C$3,D31&gt;=$D$3),"Above minimum","Below minimum")))</f>
        <v/>
      </c>
      <c r="F31" s="16" t="n">
        <v>2</v>
      </c>
      <c r="G31" s="28">
        <f>IF(OR(B31="",C31="",D31=""),"n/a",IF(AND(B31&gt;=$B$3,C31&gt;=$C$3,D31&gt;=$D$3),"Yes","No"))</f>
        <v/>
      </c>
      <c r="H31" s="29" t="n"/>
    </row>
    <row r="32">
      <c r="A32" s="12" t="inlineStr">
        <is>
          <t>Chile</t>
        </is>
      </c>
      <c r="B32" s="13" t="n">
        <v>7.97</v>
      </c>
      <c r="C32" s="14" t="n">
        <v>63</v>
      </c>
      <c r="D32" s="15" t="n">
        <v>0.93</v>
      </c>
      <c r="E32" s="16">
        <f>IF(OR(B32="",C32="",D32=""),"Insufficient data",IF(AND(B32&gt;=$B$4,C32&gt;=$C$4,D32&gt;=$D$4),"Meets standard",IF(AND(B32&gt;=$B$3,C32&gt;=$C$3,D32&gt;=$D$3),"Above minimum","Below minimum")))</f>
        <v/>
      </c>
      <c r="F32" s="16" t="n">
        <v>2</v>
      </c>
      <c r="G32" s="28">
        <f>IF(OR(B32="",C32="",D32=""),"n/a",IF(AND(B32&gt;=$B$3,C32&gt;=$C$3,D32&gt;=$D$3),"Yes","No"))</f>
        <v/>
      </c>
      <c r="H32" s="29" t="n"/>
    </row>
    <row r="33">
      <c r="A33" s="12" t="inlineStr">
        <is>
          <t>Malta</t>
        </is>
      </c>
      <c r="B33" s="13" t="n">
        <v>7.93</v>
      </c>
      <c r="C33" s="14" t="n">
        <v>49</v>
      </c>
      <c r="D33" s="15" t="n">
        <v>0.915</v>
      </c>
      <c r="E33" s="16">
        <f>IF(OR(B33="",C33="",D33=""),"Insufficient data",IF(AND(B33&gt;=$B$4,C33&gt;=$C$4,D33&gt;=$D$4),"Meets standard",IF(AND(B33&gt;=$B$3,C33&gt;=$C$3,D33&gt;=$D$3),"Above minimum","Below minimum")))</f>
        <v/>
      </c>
      <c r="F33" s="16" t="n">
        <v>2</v>
      </c>
      <c r="G33" s="28">
        <f>IF(OR(B33="",C33="",D33=""),"n/a",IF(AND(B33&gt;=$B$3,C33&gt;=$C$3,D33&gt;=$D$3),"Yes","No"))</f>
        <v/>
      </c>
      <c r="H33" s="29" t="n"/>
    </row>
    <row r="34">
      <c r="A34" s="12" t="inlineStr">
        <is>
          <t>Slovenia</t>
        </is>
      </c>
      <c r="B34" s="13" t="n">
        <v>7.82</v>
      </c>
      <c r="C34" s="14" t="n">
        <v>58</v>
      </c>
      <c r="D34" s="15" t="n">
        <v>0.883</v>
      </c>
      <c r="E34" s="16">
        <f>IF(OR(B34="",C34="",D34=""),"Insufficient data",IF(AND(B34&gt;=$B$4,C34&gt;=$C$4,D34&gt;=$D$4),"Meets standard",IF(AND(B34&gt;=$B$3,C34&gt;=$C$3,D34&gt;=$D$3),"Above minimum","Below minimum")))</f>
        <v/>
      </c>
      <c r="F34" s="16" t="n">
        <v>2</v>
      </c>
      <c r="G34" s="28">
        <f>IF(OR(B34="",C34="",D34=""),"n/a",IF(AND(B34&gt;=$B$3,C34&gt;=$C$3,D34&gt;=$D$3),"Yes","No"))</f>
        <v/>
      </c>
      <c r="H34" s="29" t="n"/>
    </row>
    <row r="35">
      <c r="A35" s="12" t="inlineStr">
        <is>
          <t>Israel</t>
        </is>
      </c>
      <c r="B35" s="13" t="n">
        <v>7.8</v>
      </c>
      <c r="C35" s="14" t="n">
        <v>62</v>
      </c>
      <c r="D35" s="15" t="n">
        <v>0.787</v>
      </c>
      <c r="E35" s="16">
        <f>IF(OR(B35="",C35="",D35=""),"Insufficient data",IF(AND(B35&gt;=$B$4,C35&gt;=$C$4,D35&gt;=$D$4),"Meets standard",IF(AND(B35&gt;=$B$3,C35&gt;=$C$3,D35&gt;=$D$3),"Above minimum","Below minimum")))</f>
        <v/>
      </c>
      <c r="F35" s="16" t="n">
        <v>2</v>
      </c>
      <c r="G35" s="35" t="inlineStr">
        <is>
          <t>No</t>
        </is>
      </c>
      <c r="H35" s="34" t="inlineStr">
        <is>
          <t>Not at this time; only if willing to commit fully to all GU rules</t>
        </is>
      </c>
    </row>
    <row r="36">
      <c r="A36" s="12" t="inlineStr">
        <is>
          <t>Belgium</t>
        </is>
      </c>
      <c r="B36" s="13" t="n">
        <v>7.77</v>
      </c>
      <c r="C36" s="14" t="n">
        <v>69</v>
      </c>
      <c r="D36" s="15" t="n">
        <v>0.955</v>
      </c>
      <c r="E36" s="16">
        <f>IF(OR(B36="",C36="",D36=""),"Insufficient data",IF(AND(B36&gt;=$B$4,C36&gt;=$C$4,D36&gt;=$D$4),"Meets standard",IF(AND(B36&gt;=$B$3,C36&gt;=$C$3,D36&gt;=$D$3),"Above minimum","Below minimum")))</f>
        <v/>
      </c>
      <c r="F36" s="16" t="n">
        <v>2</v>
      </c>
      <c r="G36" s="28">
        <f>IF(OR(B36="",C36="",D36=""),"n/a",IF(AND(B36&gt;=$B$3,C36&gt;=$C$3,D36&gt;=$D$3),"Yes","No"))</f>
        <v/>
      </c>
      <c r="H36" s="29" t="n"/>
    </row>
    <row r="37">
      <c r="A37" s="12" t="inlineStr">
        <is>
          <t>South Korea</t>
        </is>
      </c>
      <c r="B37" s="13" t="n">
        <v>7.75</v>
      </c>
      <c r="C37" s="14" t="n">
        <v>63</v>
      </c>
      <c r="D37" s="15" t="n">
        <v>0.912</v>
      </c>
      <c r="E37" s="16">
        <f>IF(OR(B37="",C37="",D37=""),"Insufficient data",IF(AND(B37&gt;=$B$4,C37&gt;=$C$4,D37&gt;=$D$4),"Meets standard",IF(AND(B37&gt;=$B$3,C37&gt;=$C$3,D37&gt;=$D$3),"Above minimum","Below minimum")))</f>
        <v/>
      </c>
      <c r="F37" s="16" t="n">
        <v>2</v>
      </c>
      <c r="G37" s="28">
        <f>IF(OR(B37="",C37="",D37=""),"n/a",IF(AND(B37&gt;=$B$3,C37&gt;=$C$3,D37&gt;=$D$3),"Yes","No"))</f>
        <v/>
      </c>
      <c r="H37" s="29" t="n"/>
    </row>
    <row r="38">
      <c r="A38" s="12" t="inlineStr">
        <is>
          <t>Latvia</t>
        </is>
      </c>
      <c r="B38" s="13" t="n">
        <v>7.73</v>
      </c>
      <c r="C38" s="14" t="n">
        <v>60</v>
      </c>
      <c r="D38" s="15" t="n">
        <v>0.9399999999999999</v>
      </c>
      <c r="E38" s="16">
        <f>IF(OR(B38="",C38="",D38=""),"Insufficient data",IF(AND(B38&gt;=$B$4,C38&gt;=$C$4,D38&gt;=$D$4),"Meets standard",IF(AND(B38&gt;=$B$3,C38&gt;=$C$3,D38&gt;=$D$3),"Above minimum","Below minimum")))</f>
        <v/>
      </c>
      <c r="F38" s="16" t="n">
        <v>2</v>
      </c>
      <c r="G38" s="28">
        <f>IF(OR(B38="",C38="",D38=""),"n/a",IF(AND(B38&gt;=$B$3,C38&gt;=$C$3,D38&gt;=$D$3),"Yes","No"))</f>
        <v/>
      </c>
      <c r="H38" s="29" t="n"/>
    </row>
    <row r="39">
      <c r="A39" s="12" t="inlineStr">
        <is>
          <t>United States</t>
        </is>
      </c>
      <c r="B39" s="13" t="n">
        <v>7.65</v>
      </c>
      <c r="C39" s="14" t="n">
        <v>64</v>
      </c>
      <c r="D39" s="15" t="n">
        <v>0.826</v>
      </c>
      <c r="E39" s="16">
        <f>IF(OR(B39="",C39="",D39=""),"Insufficient data",IF(AND(B39&gt;=$B$4,C39&gt;=$C$4,D39&gt;=$D$4),"Meets standard",IF(AND(B39&gt;=$B$3,C39&gt;=$C$3,D39&gt;=$D$3),"Above minimum","Below minimum")))</f>
        <v/>
      </c>
      <c r="F39" s="16" t="n">
        <v>2</v>
      </c>
      <c r="G39" s="35" t="inlineStr">
        <is>
          <t>No</t>
        </is>
      </c>
      <c r="H39" s="34" t="inlineStr">
        <is>
          <t>Not at this time; only if willing to commit fully to all GU rules</t>
        </is>
      </c>
    </row>
    <row r="40">
      <c r="A40" s="12" t="inlineStr">
        <is>
          <t>Poland</t>
        </is>
      </c>
      <c r="B40" s="13" t="n">
        <v>7.65</v>
      </c>
      <c r="C40" s="14" t="n">
        <v>52</v>
      </c>
      <c r="D40" s="15" t="n">
        <v>0.918</v>
      </c>
      <c r="E40" s="16">
        <f>IF(OR(B40="",C40="",D40=""),"Insufficient data",IF(AND(B40&gt;=$B$4,C40&gt;=$C$4,D40&gt;=$D$4),"Meets standard",IF(AND(B40&gt;=$B$3,C40&gt;=$C$3,D40&gt;=$D$3),"Above minimum","Below minimum")))</f>
        <v/>
      </c>
      <c r="F40" s="16" t="n">
        <v>2</v>
      </c>
      <c r="G40" s="28">
        <f>IF(OR(B40="",C40="",D40=""),"n/a",IF(AND(B40&gt;=$B$3,C40&gt;=$C$3,D40&gt;=$D$3),"Yes","No"))</f>
        <v/>
      </c>
      <c r="H40" s="29" t="n"/>
    </row>
    <row r="41">
      <c r="A41" s="12" t="inlineStr">
        <is>
          <t>Botswana</t>
        </is>
      </c>
      <c r="B41" s="13" t="n">
        <v>7.63</v>
      </c>
      <c r="C41" s="14" t="n">
        <v>58</v>
      </c>
      <c r="D41" s="15" t="n">
        <v>0.845</v>
      </c>
      <c r="E41" s="16">
        <f>IF(OR(B41="",C41="",D41=""),"Insufficient data",IF(AND(B41&gt;=$B$4,C41&gt;=$C$4,D41&gt;=$D$4),"Meets standard",IF(AND(B41&gt;=$B$3,C41&gt;=$C$3,D41&gt;=$D$3),"Above minimum","Below minimum")))</f>
        <v/>
      </c>
      <c r="F41" s="16" t="n">
        <v>2</v>
      </c>
      <c r="G41" s="28">
        <f>IF(OR(B41="",C41="",D41=""),"n/a",IF(AND(B41&gt;=$B$3,C41&gt;=$C$3,D41&gt;=$D$3),"Yes","No"))</f>
        <v/>
      </c>
      <c r="H41" s="29" t="n"/>
    </row>
    <row r="42">
      <c r="A42" s="12" t="inlineStr">
        <is>
          <t>Cape Verde</t>
        </is>
      </c>
      <c r="B42" s="13" t="n">
        <v>7.58</v>
      </c>
      <c r="C42" s="14" t="n">
        <v>62</v>
      </c>
      <c r="D42" s="15" t="n">
        <v>0.907</v>
      </c>
      <c r="E42" s="16">
        <f>IF(OR(B42="",C42="",D42=""),"Insufficient data",IF(AND(B42&gt;=$B$4,C42&gt;=$C$4,D42&gt;=$D$4),"Meets standard",IF(AND(B42&gt;=$B$3,C42&gt;=$C$3,D42&gt;=$D$3),"Above minimum","Below minimum")))</f>
        <v/>
      </c>
      <c r="F42" s="16" t="n">
        <v>2</v>
      </c>
      <c r="G42" s="28">
        <f>IF(OR(B42="",C42="",D42=""),"n/a",IF(AND(B42&gt;=$B$3,C42&gt;=$C$3,D42&gt;=$D$3),"Yes","No"))</f>
        <v/>
      </c>
      <c r="H42" s="29" t="n"/>
    </row>
    <row r="43">
      <c r="A43" s="12" t="inlineStr">
        <is>
          <t>Italy</t>
        </is>
      </c>
      <c r="B43" s="13" t="n">
        <v>7.58</v>
      </c>
      <c r="C43" s="14" t="n">
        <v>53</v>
      </c>
      <c r="D43" s="15" t="n">
        <v>0.9</v>
      </c>
      <c r="E43" s="16">
        <f>IF(OR(B43="",C43="",D43=""),"Insufficient data",IF(AND(B43&gt;=$B$4,C43&gt;=$C$4,D43&gt;=$D$4),"Meets standard",IF(AND(B43&gt;=$B$3,C43&gt;=$C$3,D43&gt;=$D$3),"Above minimum","Below minimum")))</f>
        <v/>
      </c>
      <c r="F43" s="16" t="n">
        <v>2</v>
      </c>
      <c r="G43" s="28">
        <f>IF(OR(B43="",C43="",D43=""),"n/a",IF(AND(B43&gt;=$B$3,C43&gt;=$C$3,D43&gt;=$D$3),"Yes","No"))</f>
        <v/>
      </c>
      <c r="H43" s="29" t="n"/>
    </row>
    <row r="44">
      <c r="A44" s="12" t="inlineStr">
        <is>
          <t>Lithuania</t>
        </is>
      </c>
      <c r="B44" s="13" t="n">
        <v>7.55</v>
      </c>
      <c r="C44" s="14" t="n">
        <v>65</v>
      </c>
      <c r="D44" s="15" t="n">
        <v>0.913</v>
      </c>
      <c r="E44" s="16">
        <f>IF(OR(B44="",C44="",D44=""),"Insufficient data",IF(AND(B44&gt;=$B$4,C44&gt;=$C$4,D44&gt;=$D$4),"Meets standard",IF(AND(B44&gt;=$B$3,C44&gt;=$C$3,D44&gt;=$D$3),"Above minimum","Below minimum")))</f>
        <v/>
      </c>
      <c r="F44" s="16" t="n">
        <v>2</v>
      </c>
      <c r="G44" s="28">
        <f>IF(OR(B44="",C44="",D44=""),"n/a",IF(AND(B44&gt;=$B$3,C44&gt;=$C$3,D44&gt;=$D$3),"Yes","No"))</f>
        <v/>
      </c>
      <c r="H44" s="29" t="n"/>
    </row>
    <row r="45">
      <c r="A45" s="12" t="inlineStr">
        <is>
          <t>Cyprus</t>
        </is>
      </c>
      <c r="B45" s="13" t="n">
        <v>7.45</v>
      </c>
      <c r="C45" s="14" t="n">
        <v>55</v>
      </c>
      <c r="D45" s="15" t="n">
        <v>0.895</v>
      </c>
      <c r="E45" s="16">
        <f>IF(OR(B45="",C45="",D45=""),"Insufficient data",IF(AND(B45&gt;=$B$4,C45&gt;=$C$4,D45&gt;=$D$4),"Meets standard",IF(AND(B45&gt;=$B$3,C45&gt;=$C$3,D45&gt;=$D$3),"Above minimum","Below minimum")))</f>
        <v/>
      </c>
      <c r="F45" s="16" t="n">
        <v>2</v>
      </c>
      <c r="G45" s="28">
        <f>IF(OR(B45="",C45="",D45=""),"n/a",IF(AND(B45&gt;=$B$3,C45&gt;=$C$3,D45&gt;=$D$3),"Yes","No"))</f>
        <v/>
      </c>
      <c r="H45" s="29" t="n"/>
    </row>
    <row r="46">
      <c r="A46" s="12" t="inlineStr">
        <is>
          <t>South Africa</t>
        </is>
      </c>
      <c r="B46" s="13" t="n">
        <v>7.16</v>
      </c>
      <c r="C46" s="14" t="n">
        <v>41</v>
      </c>
      <c r="D46" s="15" t="n">
        <v>0.857</v>
      </c>
      <c r="E46" s="16">
        <f>IF(OR(B46="",C46="",D46=""),"Insufficient data",IF(AND(B46&gt;=$B$4,C46&gt;=$C$4,D46&gt;=$D$4),"Meets standard",IF(AND(B46&gt;=$B$3,C46&gt;=$C$3,D46&gt;=$D$3),"Above minimum","Below minimum")))</f>
        <v/>
      </c>
      <c r="F46" s="16" t="n">
        <v>2</v>
      </c>
      <c r="G46" s="28">
        <f>IF(OR(B46="",C46="",D46=""),"n/a",IF(AND(B46&gt;=$B$3,C46&gt;=$C$3,D46&gt;=$D$3),"Yes","No"))</f>
        <v/>
      </c>
      <c r="H46" s="29" t="n"/>
    </row>
    <row r="47">
      <c r="A47" s="12" t="inlineStr">
        <is>
          <t>Malaysia</t>
        </is>
      </c>
      <c r="B47" s="13" t="n">
        <v>7.11</v>
      </c>
      <c r="C47" s="14" t="n">
        <v>52</v>
      </c>
      <c r="D47" s="15" t="n">
        <v>0.739</v>
      </c>
      <c r="E47" s="16">
        <f>IF(OR(B47="",C47="",D47=""),"Insufficient data",IF(AND(B47&gt;=$B$4,C47&gt;=$C$4,D47&gt;=$D$4),"Meets standard",IF(AND(B47&gt;=$B$3,C47&gt;=$C$3,D47&gt;=$D$3),"Above minimum","Below minimum")))</f>
        <v/>
      </c>
      <c r="F47" s="16" t="n">
        <v>2</v>
      </c>
      <c r="G47" s="28">
        <f>IF(OR(B47="",C47="",D47=""),"n/a",IF(AND(B47&gt;=$B$3,C47&gt;=$C$3,D47&gt;=$D$3),"Yes","No"))</f>
        <v/>
      </c>
      <c r="H47" s="29" t="n"/>
    </row>
    <row r="48">
      <c r="A48" s="12" t="inlineStr">
        <is>
          <t>Trinidad and Tobago</t>
        </is>
      </c>
      <c r="B48" s="13" t="n">
        <v>7.09</v>
      </c>
      <c r="C48" s="14" t="n">
        <v>41</v>
      </c>
      <c r="D48" s="15" t="n">
        <v>0.888</v>
      </c>
      <c r="E48" s="16">
        <f>IF(OR(B48="",C48="",D48=""),"Insufficient data",IF(AND(B48&gt;=$B$4,C48&gt;=$C$4,D48&gt;=$D$4),"Meets standard",IF(AND(B48&gt;=$B$3,C48&gt;=$C$3,D48&gt;=$D$3),"Above minimum","Below minimum")))</f>
        <v/>
      </c>
      <c r="F48" s="16" t="n">
        <v>2</v>
      </c>
      <c r="G48" s="28">
        <f>IF(OR(B48="",C48="",D48=""),"n/a",IF(AND(B48&gt;=$B$3,C48&gt;=$C$3,D48&gt;=$D$3),"Yes","No"))</f>
        <v/>
      </c>
      <c r="H48" s="29" t="n"/>
    </row>
    <row r="49">
      <c r="A49" s="12" t="inlineStr">
        <is>
          <t>Timor-Leste</t>
        </is>
      </c>
      <c r="B49" s="13" t="n">
        <v>6.97</v>
      </c>
      <c r="C49" s="14" t="n">
        <v>44</v>
      </c>
      <c r="D49" s="15" t="n">
        <v>0.873</v>
      </c>
      <c r="E49" s="16">
        <f>IF(OR(B49="",C49="",D49=""),"Insufficient data",IF(AND(B49&gt;=$B$4,C49&gt;=$C$4,D49&gt;=$D$4),"Meets standard",IF(AND(B49&gt;=$B$3,C49&gt;=$C$3,D49&gt;=$D$3),"Above minimum","Below minimum")))</f>
        <v/>
      </c>
      <c r="F49" s="16" t="n">
        <v>2</v>
      </c>
      <c r="G49" s="28">
        <f>IF(OR(B49="",C49="",D49=""),"n/a",IF(AND(B49&gt;=$B$3,C49&gt;=$C$3,D49&gt;=$D$3),"Yes","No"))</f>
        <v/>
      </c>
      <c r="H49" s="29" t="n"/>
    </row>
    <row r="50">
      <c r="A50" s="12" t="inlineStr">
        <is>
          <t>Slovakia</t>
        </is>
      </c>
      <c r="B50" s="13" t="n">
        <v>6.94</v>
      </c>
      <c r="C50" s="14" t="n">
        <v>48</v>
      </c>
      <c r="D50" s="15" t="n">
        <v>0.857</v>
      </c>
      <c r="E50" s="16">
        <f>IF(OR(B50="",C50="",D50=""),"Insufficient data",IF(AND(B50&gt;=$B$4,C50&gt;=$C$4,D50&gt;=$D$4),"Meets standard",IF(AND(B50&gt;=$B$3,C50&gt;=$C$3,D50&gt;=$D$3),"Above minimum","Below minimum")))</f>
        <v/>
      </c>
      <c r="F50" s="16" t="n">
        <v>2</v>
      </c>
      <c r="G50" s="28">
        <f>IF(OR(B50="",C50="",D50=""),"n/a",IF(AND(B50&gt;=$B$3,C50&gt;=$C$3,D50&gt;=$D$3),"Yes","No"))</f>
        <v/>
      </c>
      <c r="H50" s="29" t="n"/>
    </row>
    <row r="51">
      <c r="A51" s="12" t="inlineStr">
        <is>
          <t>Jamaica</t>
        </is>
      </c>
      <c r="B51" s="13" t="n">
        <v>6.74</v>
      </c>
      <c r="C51" s="14" t="n">
        <v>44</v>
      </c>
      <c r="D51" s="15" t="n">
        <v>0.876</v>
      </c>
      <c r="E51" s="16">
        <f>IF(OR(B51="",C51="",D51=""),"Insufficient data",IF(AND(B51&gt;=$B$4,C51&gt;=$C$4,D51&gt;=$D$4),"Meets standard",IF(AND(B51&gt;=$B$3,C51&gt;=$C$3,D51&gt;=$D$3),"Above minimum","Below minimum")))</f>
        <v/>
      </c>
      <c r="F51" s="16" t="n">
        <v>2</v>
      </c>
      <c r="G51" s="28">
        <f>IF(OR(B51="",C51="",D51=""),"n/a",IF(AND(B51&gt;=$B$3,C51&gt;=$C$3,D51&gt;=$D$3),"Yes","No"))</f>
        <v/>
      </c>
      <c r="H51" s="29" t="n"/>
    </row>
    <row r="52">
      <c r="A52" s="12" t="inlineStr">
        <is>
          <t>Montenegro</t>
        </is>
      </c>
      <c r="B52" s="13" t="n">
        <v>6.73</v>
      </c>
      <c r="C52" s="14" t="n">
        <v>46</v>
      </c>
      <c r="D52" s="15" t="n">
        <v>0.881</v>
      </c>
      <c r="E52" s="16">
        <f>IF(OR(B52="",C52="",D52=""),"Insufficient data",IF(AND(B52&gt;=$B$4,C52&gt;=$C$4,D52&gt;=$D$4),"Meets standard",IF(AND(B52&gt;=$B$3,C52&gt;=$C$3,D52&gt;=$D$3),"Above minimum","Below minimum")))</f>
        <v/>
      </c>
      <c r="F52" s="16" t="n">
        <v>2</v>
      </c>
      <c r="G52" s="28">
        <f>IF(OR(B52="",C52="",D52=""),"n/a",IF(AND(B52&gt;=$B$3,C52&gt;=$C$3,D52&gt;=$D$3),"Yes","No"))</f>
        <v/>
      </c>
      <c r="H52" s="29" t="n"/>
    </row>
    <row r="53">
      <c r="A53" s="12" t="inlineStr">
        <is>
          <t>Hungary</t>
        </is>
      </c>
      <c r="B53" s="13" t="n">
        <v>6.58</v>
      </c>
      <c r="C53" s="14" t="n">
        <v>40</v>
      </c>
      <c r="D53" s="15" t="n">
        <v>0.793</v>
      </c>
      <c r="E53" s="16">
        <f>IF(OR(B53="",C53="",D53=""),"Insufficient data",IF(AND(B53&gt;=$B$4,C53&gt;=$C$4,D53&gt;=$D$4),"Meets standard",IF(AND(B53&gt;=$B$3,C53&gt;=$C$3,D53&gt;=$D$3),"Above minimum","Below minimum")))</f>
        <v/>
      </c>
      <c r="F53" s="16" t="n">
        <v>2</v>
      </c>
      <c r="G53" s="28">
        <f>IF(OR(B53="",C53="",D53=""),"n/a",IF(AND(B53&gt;=$B$3,C53&gt;=$C$3,D53&gt;=$D$3),"Yes","No"))</f>
        <v/>
      </c>
      <c r="H53" s="29" t="n"/>
    </row>
    <row r="54">
      <c r="A54" s="12" t="inlineStr">
        <is>
          <t>Croatia</t>
        </is>
      </c>
      <c r="B54" s="13" t="n">
        <v>6.5</v>
      </c>
      <c r="C54" s="14" t="n">
        <v>47</v>
      </c>
      <c r="D54" s="15" t="n">
        <v>0.886</v>
      </c>
      <c r="E54" s="16">
        <f>IF(OR(B54="",C54="",D54=""),"Insufficient data",IF(AND(B54&gt;=$B$4,C54&gt;=$C$4,D54&gt;=$D$4),"Meets standard",IF(AND(B54&gt;=$B$3,C54&gt;=$C$3,D54&gt;=$D$3),"Above minimum","Below minimum")))</f>
        <v/>
      </c>
      <c r="F54" s="16" t="n">
        <v>2</v>
      </c>
      <c r="G54" s="28">
        <f>IF(OR(B54="",C54="",D54=""),"n/a",IF(AND(B54&gt;=$B$3,C54&gt;=$C$3,D54&gt;=$D$3),"Yes","No"))</f>
        <v/>
      </c>
      <c r="H54" s="29" t="n"/>
    </row>
    <row r="55">
      <c r="A55" s="12" t="inlineStr">
        <is>
          <t>Namibia</t>
        </is>
      </c>
      <c r="B55" s="13" t="n">
        <v>6.48</v>
      </c>
      <c r="C55" s="14" t="n">
        <v>46</v>
      </c>
      <c r="D55" s="15" t="n">
        <v>0.883</v>
      </c>
      <c r="E55" s="16">
        <f>IF(OR(B55="",C55="",D55=""),"Insufficient data",IF(AND(B55&gt;=$B$4,C55&gt;=$C$4,D55&gt;=$D$4),"Meets standard",IF(AND(B55&gt;=$B$3,C55&gt;=$C$3,D55&gt;=$D$3),"Above minimum","Below minimum")))</f>
        <v/>
      </c>
      <c r="F55" s="16" t="n">
        <v>2</v>
      </c>
      <c r="G55" s="28">
        <f>IF(OR(B55="",C55="",D55=""),"n/a",IF(AND(B55&gt;=$B$3,C55&gt;=$C$3,D55&gt;=$D$3),"Yes","No"))</f>
        <v/>
      </c>
      <c r="H55" s="29" t="n"/>
    </row>
    <row r="56">
      <c r="A56" s="12" t="inlineStr">
        <is>
          <t>Bulgaria</t>
        </is>
      </c>
      <c r="B56" s="13" t="n">
        <v>6.34</v>
      </c>
      <c r="C56" s="14" t="n">
        <v>40</v>
      </c>
      <c r="D56" s="15" t="n">
        <v>0.849</v>
      </c>
      <c r="E56" s="16">
        <f>IF(OR(B56="",C56="",D56=""),"Insufficient data",IF(AND(B56&gt;=$B$4,C56&gt;=$C$4,D56&gt;=$D$4),"Meets standard",IF(AND(B56&gt;=$B$3,C56&gt;=$C$3,D56&gt;=$D$3),"Above minimum","Below minimum")))</f>
        <v/>
      </c>
      <c r="F56" s="16" t="n">
        <v>2</v>
      </c>
      <c r="G56" s="28">
        <f>IF(OR(B56="",C56="",D56=""),"n/a",IF(AND(B56&gt;=$B$3,C56&gt;=$C$3,D56&gt;=$D$3),"Yes","No"))</f>
        <v/>
      </c>
      <c r="H56" s="29" t="n"/>
    </row>
    <row r="57">
      <c r="A57" s="12" t="inlineStr">
        <is>
          <t>North Macedonia</t>
        </is>
      </c>
      <c r="B57" s="13" t="n">
        <v>6.28</v>
      </c>
      <c r="C57" s="14" t="n">
        <v>40</v>
      </c>
      <c r="D57" s="15" t="n">
        <v>0.789</v>
      </c>
      <c r="E57" s="16">
        <f>IF(OR(B57="",C57="",D57=""),"Insufficient data",IF(AND(B57&gt;=$B$4,C57&gt;=$C$4,D57&gt;=$D$4),"Meets standard",IF(AND(B57&gt;=$B$3,C57&gt;=$C$3,D57&gt;=$D$3),"Above minimum","Below minimum")))</f>
        <v/>
      </c>
      <c r="F57" s="16" t="n">
        <v>2</v>
      </c>
      <c r="G57" s="28">
        <f>IF(OR(B57="",C57="",D57=""),"n/a",IF(AND(B57&gt;=$B$3,C57&gt;=$C$3,D57&gt;=$D$3),"Yes","No"))</f>
        <v/>
      </c>
      <c r="H57" s="29" t="n"/>
    </row>
    <row r="58">
      <c r="A58" s="12" t="inlineStr">
        <is>
          <t>Ghana</t>
        </is>
      </c>
      <c r="B58" s="13" t="n">
        <v>6.24</v>
      </c>
      <c r="C58" s="14" t="n">
        <v>43</v>
      </c>
      <c r="D58" s="15" t="n">
        <v>0.912</v>
      </c>
      <c r="E58" s="16">
        <f>IF(OR(B58="",C58="",D58=""),"Insufficient data",IF(AND(B58&gt;=$B$4,C58&gt;=$C$4,D58&gt;=$D$4),"Meets standard",IF(AND(B58&gt;=$B$3,C58&gt;=$C$3,D58&gt;=$D$3),"Above minimum","Below minimum")))</f>
        <v/>
      </c>
      <c r="F58" s="16" t="n">
        <v>2</v>
      </c>
      <c r="G58" s="28">
        <f>IF(OR(B58="",C58="",D58=""),"n/a",IF(AND(B58&gt;=$B$3,C58&gt;=$C$3,D58&gt;=$D$3),"Yes","No"))</f>
        <v/>
      </c>
      <c r="H58" s="29" t="n"/>
    </row>
    <row r="59">
      <c r="A59" s="12" t="inlineStr">
        <is>
          <t>Singapore</t>
        </is>
      </c>
      <c r="B59" s="13" t="n">
        <v>6.18</v>
      </c>
      <c r="C59" s="14" t="n">
        <v>84</v>
      </c>
      <c r="D59" s="15" t="n">
        <v>0.717</v>
      </c>
      <c r="E59" s="16">
        <f>IF(OR(B59="",C59="",D59=""),"Insufficient data",IF(AND(B59&gt;=$B$4,C59&gt;=$C$4,D59&gt;=$D$4),"Meets standard",IF(AND(B59&gt;=$B$3,C59&gt;=$C$3,D59&gt;=$D$3),"Above minimum","Below minimum")))</f>
        <v/>
      </c>
      <c r="F59" s="16" t="n">
        <v>2</v>
      </c>
      <c r="G59" s="28">
        <f>IF(OR(B59="",C59="",D59=""),"n/a",IF(AND(B59&gt;=$B$3,C59&gt;=$C$3,D59&gt;=$D$3),"Yes","No"))</f>
        <v/>
      </c>
      <c r="H59" s="29" t="n"/>
    </row>
    <row r="60">
      <c r="A60" s="12" t="inlineStr">
        <is>
          <t>Romania</t>
        </is>
      </c>
      <c r="B60" s="13" t="n">
        <v>6.11</v>
      </c>
      <c r="C60" s="14" t="n">
        <v>45</v>
      </c>
      <c r="D60" s="15" t="n">
        <v>0.877</v>
      </c>
      <c r="E60" s="16">
        <f>IF(OR(B60="",C60="",D60=""),"Insufficient data",IF(AND(B60&gt;=$B$4,C60&gt;=$C$4,D60&gt;=$D$4),"Meets standard",IF(AND(B60&gt;=$B$3,C60&gt;=$C$3,D60&gt;=$D$3),"Above minimum","Below minimum")))</f>
        <v/>
      </c>
      <c r="F60" s="16" t="n">
        <v>2</v>
      </c>
      <c r="G60" s="28">
        <f>IF(OR(B60="",C60="",D60=""),"n/a",IF(AND(B60&gt;=$B$3,C60&gt;=$C$3,D60&gt;=$D$3),"Yes","No"))</f>
        <v/>
      </c>
      <c r="H60" s="29" t="n"/>
    </row>
    <row r="61">
      <c r="A61" s="12" t="inlineStr">
        <is>
          <t>Guyana</t>
        </is>
      </c>
      <c r="B61" s="13" t="n">
        <v>6.09</v>
      </c>
      <c r="C61" s="14" t="n">
        <v>40</v>
      </c>
      <c r="D61" s="15" t="n">
        <v>0.847</v>
      </c>
      <c r="E61" s="16">
        <f>IF(OR(B61="",C61="",D61=""),"Insufficient data",IF(AND(B61&gt;=$B$4,C61&gt;=$C$4,D61&gt;=$D$4),"Meets standard",IF(AND(B61&gt;=$B$3,C61&gt;=$C$3,D61&gt;=$D$3),"Above minimum","Below minimum")))</f>
        <v/>
      </c>
      <c r="F61" s="16" t="n">
        <v>2</v>
      </c>
      <c r="G61" s="28">
        <f>IF(OR(B61="",C61="",D61=""),"n/a",IF(AND(B61&gt;=$B$3,C61&gt;=$C$3,D61&gt;=$D$3),"Yes","No"))</f>
        <v/>
      </c>
      <c r="H61" s="29" t="n"/>
    </row>
    <row r="62">
      <c r="A62" s="12" t="inlineStr">
        <is>
          <t>Senegal</t>
        </is>
      </c>
      <c r="B62" s="13" t="n">
        <v>6.05</v>
      </c>
      <c r="C62" s="14" t="n">
        <v>46</v>
      </c>
      <c r="D62" s="15" t="n">
        <v>0.8120000000000001</v>
      </c>
      <c r="E62" s="16">
        <f>IF(OR(B62="",C62="",D62=""),"Insufficient data",IF(AND(B62&gt;=$B$4,C62&gt;=$C$4,D62&gt;=$D$4),"Meets standard",IF(AND(B62&gt;=$B$3,C62&gt;=$C$3,D62&gt;=$D$3),"Above minimum","Below minimum")))</f>
        <v/>
      </c>
      <c r="F62" s="16" t="n">
        <v>2</v>
      </c>
      <c r="G62" s="28">
        <f>IF(OR(B62="",C62="",D62=""),"n/a",IF(AND(B62&gt;=$B$3,C62&gt;=$C$3,D62&gt;=$D$3),"Yes","No"))</f>
        <v/>
      </c>
      <c r="H62" s="29" t="n"/>
    </row>
    <row r="63">
      <c r="A63" s="12" t="inlineStr">
        <is>
          <t>Panama</t>
        </is>
      </c>
      <c r="B63" s="13" t="n">
        <v>7.04</v>
      </c>
      <c r="C63" s="14" t="n">
        <v>33</v>
      </c>
      <c r="D63" s="15" t="n">
        <v>0.874</v>
      </c>
      <c r="E63" s="16">
        <f>IF(OR(B63="",C63="",D63=""),"Insufficient data",IF(AND(B63&gt;=$B$4,C63&gt;=$C$4,D63&gt;=$D$4),"Meets standard",IF(AND(B63&gt;=$B$3,C63&gt;=$C$3,D63&gt;=$D$3),"Above minimum","Below minimum")))</f>
        <v/>
      </c>
      <c r="F63" s="16" t="n">
        <v>3</v>
      </c>
      <c r="G63" s="28">
        <f>IF(OR(B63="",C63="",D63=""),"n/a",IF(AND(B63&gt;=$B$3,C63&gt;=$C$3,D63&gt;=$D$3),"Yes","No"))</f>
        <v/>
      </c>
      <c r="H63" s="29" t="n"/>
    </row>
    <row r="64">
      <c r="A64" s="12" t="inlineStr">
        <is>
          <t>Suriname</t>
        </is>
      </c>
      <c r="B64" s="13" t="n">
        <v>7.03</v>
      </c>
      <c r="C64" s="14" t="n">
        <v>38</v>
      </c>
      <c r="D64" s="15" t="n">
        <v>0.913</v>
      </c>
      <c r="E64" s="16">
        <f>IF(OR(B64="",C64="",D64=""),"Insufficient data",IF(AND(B64&gt;=$B$4,C64&gt;=$C$4,D64&gt;=$D$4),"Meets standard",IF(AND(B64&gt;=$B$3,C64&gt;=$C$3,D64&gt;=$D$3),"Above minimum","Below minimum")))</f>
        <v/>
      </c>
      <c r="F64" s="16" t="n">
        <v>3</v>
      </c>
      <c r="G64" s="28">
        <f>IF(OR(B64="",C64="",D64=""),"n/a",IF(AND(B64&gt;=$B$3,C64&gt;=$C$3,D64&gt;=$D$3),"Yes","No"))</f>
        <v/>
      </c>
      <c r="H64" s="29" t="n"/>
    </row>
    <row r="65">
      <c r="A65" s="12" t="inlineStr">
        <is>
          <t>India</t>
        </is>
      </c>
      <c r="B65" s="13" t="n">
        <v>6.96</v>
      </c>
      <c r="C65" s="14" t="n">
        <v>39</v>
      </c>
      <c r="D65" s="15" t="n">
        <v>0.534</v>
      </c>
      <c r="E65" s="16">
        <f>IF(OR(B65="",C65="",D65=""),"Insufficient data",IF(AND(B65&gt;=$B$4,C65&gt;=$C$4,D65&gt;=$D$4),"Meets standard",IF(AND(B65&gt;=$B$3,C65&gt;=$C$3,D65&gt;=$D$3),"Above minimum","Below minimum")))</f>
        <v/>
      </c>
      <c r="F65" s="16" t="n">
        <v>3</v>
      </c>
      <c r="G65" s="28">
        <f>IF(OR(B65="",C65="",D65=""),"n/a",IF(AND(B65&gt;=$B$3,C65&gt;=$C$3,D65&gt;=$D$3),"Yes","No"))</f>
        <v/>
      </c>
      <c r="H65" s="29" t="n"/>
    </row>
    <row r="66">
      <c r="A66" s="12" t="inlineStr">
        <is>
          <t>Argentina</t>
        </is>
      </c>
      <c r="B66" s="13" t="n">
        <v>6.89</v>
      </c>
      <c r="C66" s="14" t="n">
        <v>36</v>
      </c>
      <c r="D66" s="15" t="n">
        <v>0.821</v>
      </c>
      <c r="E66" s="16">
        <f>IF(OR(B66="",C66="",D66=""),"Insufficient data",IF(AND(B66&gt;=$B$4,C66&gt;=$C$4,D66&gt;=$D$4),"Meets standard",IF(AND(B66&gt;=$B$3,C66&gt;=$C$3,D66&gt;=$D$3),"Above minimum","Below minimum")))</f>
        <v/>
      </c>
      <c r="F66" s="16" t="n">
        <v>3</v>
      </c>
      <c r="G66" s="28">
        <f>IF(OR(B66="",C66="",D66=""),"n/a",IF(AND(B66&gt;=$B$3,C66&gt;=$C$3,D66&gt;=$D$3),"Yes","No"))</f>
        <v/>
      </c>
      <c r="H66" s="29" t="n"/>
    </row>
    <row r="67">
      <c r="A67" s="12" t="inlineStr">
        <is>
          <t>Brazil</t>
        </is>
      </c>
      <c r="B67" s="13" t="n">
        <v>6.76</v>
      </c>
      <c r="C67" s="14" t="n">
        <v>35</v>
      </c>
      <c r="D67" s="15" t="n">
        <v>0.871</v>
      </c>
      <c r="E67" s="16">
        <f>IF(OR(B67="",C67="",D67=""),"Insufficient data",IF(AND(B67&gt;=$B$4,C67&gt;=$C$4,D67&gt;=$D$4),"Meets standard",IF(AND(B67&gt;=$B$3,C67&gt;=$C$3,D67&gt;=$D$3),"Above minimum","Below minimum")))</f>
        <v/>
      </c>
      <c r="F67" s="16" t="n">
        <v>3</v>
      </c>
      <c r="G67" s="28">
        <f>IF(OR(B67="",C67="",D67=""),"n/a",IF(AND(B67&gt;=$B$3,C67&gt;=$C$3,D67&gt;=$D$3),"Yes","No"))</f>
        <v/>
      </c>
      <c r="H67" s="29" t="n"/>
    </row>
    <row r="68">
      <c r="A68" s="12" t="inlineStr">
        <is>
          <t>Dominican Republic</t>
        </is>
      </c>
      <c r="B68" s="13" t="n">
        <v>6.75</v>
      </c>
      <c r="C68" s="14" t="n">
        <v>37</v>
      </c>
      <c r="D68" s="15" t="n">
        <v>0.874</v>
      </c>
      <c r="E68" s="16">
        <f>IF(OR(B68="",C68="",D68=""),"Insufficient data",IF(AND(B68&gt;=$B$4,C68&gt;=$C$4,D68&gt;=$D$4),"Meets standard",IF(AND(B68&gt;=$B$3,C68&gt;=$C$3,D68&gt;=$D$3),"Above minimum","Below minimum")))</f>
        <v/>
      </c>
      <c r="F68" s="16" t="n">
        <v>3</v>
      </c>
      <c r="G68" s="28">
        <f>IF(OR(B68="",C68="",D68=""),"n/a",IF(AND(B68&gt;=$B$3,C68&gt;=$C$3,D68&gt;=$D$3),"Yes","No"))</f>
        <v/>
      </c>
      <c r="H68" s="29" t="n"/>
    </row>
    <row r="69">
      <c r="A69" s="12" t="inlineStr">
        <is>
          <t>Thailand</t>
        </is>
      </c>
      <c r="B69" s="13" t="n">
        <v>6.59</v>
      </c>
      <c r="C69" s="14" t="n">
        <v>33</v>
      </c>
      <c r="D69" s="15" t="n">
        <v>0.478</v>
      </c>
      <c r="E69" s="16">
        <f>IF(OR(B69="",C69="",D69=""),"Insufficient data",IF(AND(B69&gt;=$B$4,C69&gt;=$C$4,D69&gt;=$D$4),"Meets standard",IF(AND(B69&gt;=$B$3,C69&gt;=$C$3,D69&gt;=$D$3),"Above minimum","Below minimum")))</f>
        <v/>
      </c>
      <c r="F69" s="16" t="n">
        <v>3</v>
      </c>
      <c r="G69" s="28">
        <f>IF(OR(B69="",C69="",D69=""),"n/a",IF(AND(B69&gt;=$B$3,C69&gt;=$C$3,D69&gt;=$D$3),"Yes","No"))</f>
        <v/>
      </c>
      <c r="H69" s="29" t="n"/>
    </row>
    <row r="70">
      <c r="A70" s="12" t="inlineStr">
        <is>
          <t>Sri Lanka</t>
        </is>
      </c>
      <c r="B70" s="13" t="n">
        <v>6.57</v>
      </c>
      <c r="C70" s="14" t="n">
        <v>35</v>
      </c>
      <c r="D70" s="15" t="n">
        <v>0.8159999999999999</v>
      </c>
      <c r="E70" s="16">
        <f>IF(OR(B70="",C70="",D70=""),"Insufficient data",IF(AND(B70&gt;=$B$4,C70&gt;=$C$4,D70&gt;=$D$4),"Meets standard",IF(AND(B70&gt;=$B$3,C70&gt;=$C$3,D70&gt;=$D$3),"Above minimum","Below minimum")))</f>
        <v/>
      </c>
      <c r="F70" s="16" t="n">
        <v>3</v>
      </c>
      <c r="G70" s="28">
        <f>IF(OR(B70="",C70="",D70=""),"n/a",IF(AND(B70&gt;=$B$3,C70&gt;=$C$3,D70&gt;=$D$3),"Yes","No"))</f>
        <v/>
      </c>
      <c r="H70" s="29" t="n"/>
    </row>
    <row r="71">
      <c r="A71" s="12" t="inlineStr">
        <is>
          <t>Mongolia</t>
        </is>
      </c>
      <c r="B71" s="13" t="n">
        <v>6.5</v>
      </c>
      <c r="C71" s="14" t="n">
        <v>31</v>
      </c>
      <c r="D71" s="15" t="n">
        <v>0.801</v>
      </c>
      <c r="E71" s="16">
        <f>IF(OR(B71="",C71="",D71=""),"Insufficient data",IF(AND(B71&gt;=$B$4,C71&gt;=$C$4,D71&gt;=$D$4),"Meets standard",IF(AND(B71&gt;=$B$3,C71&gt;=$C$3,D71&gt;=$D$3),"Above minimum","Below minimum")))</f>
        <v/>
      </c>
      <c r="F71" s="16" t="n">
        <v>3</v>
      </c>
      <c r="G71" s="28">
        <f>IF(OR(B71="",C71="",D71=""),"n/a",IF(AND(B71&gt;=$B$3,C71&gt;=$C$3,D71&gt;=$D$3),"Yes","No"))</f>
        <v/>
      </c>
      <c r="H71" s="29" t="n"/>
    </row>
    <row r="72">
      <c r="A72" s="12" t="inlineStr">
        <is>
          <t>Indonesia</t>
        </is>
      </c>
      <c r="B72" s="13" t="n">
        <v>6.37</v>
      </c>
      <c r="C72" s="14" t="n">
        <v>34</v>
      </c>
      <c r="D72" s="15" t="n">
        <v>0.63</v>
      </c>
      <c r="E72" s="16">
        <f>IF(OR(B72="",C72="",D72=""),"Insufficient data",IF(AND(B72&gt;=$B$4,C72&gt;=$C$4,D72&gt;=$D$4),"Meets standard",IF(AND(B72&gt;=$B$3,C72&gt;=$C$3,D72&gt;=$D$3),"Above minimum","Below minimum")))</f>
        <v/>
      </c>
      <c r="F72" s="16" t="n">
        <v>3</v>
      </c>
      <c r="G72" s="28">
        <f>IF(OR(B72="",C72="",D72=""),"n/a",IF(AND(B72&gt;=$B$3,C72&gt;=$C$3,D72&gt;=$D$3),"Yes","No"))</f>
        <v/>
      </c>
      <c r="H72" s="29" t="n"/>
    </row>
    <row r="73">
      <c r="A73" s="12" t="inlineStr">
        <is>
          <t>Philippines</t>
        </is>
      </c>
      <c r="B73" s="13" t="n">
        <v>6.31</v>
      </c>
      <c r="C73" s="14" t="n">
        <v>32</v>
      </c>
      <c r="D73" s="15" t="n">
        <v>0.5610000000000001</v>
      </c>
      <c r="E73" s="16">
        <f>IF(OR(B73="",C73="",D73=""),"Insufficient data",IF(AND(B73&gt;=$B$4,C73&gt;=$C$4,D73&gt;=$D$4),"Meets standard",IF(AND(B73&gt;=$B$3,C73&gt;=$C$3,D73&gt;=$D$3),"Above minimum","Below minimum")))</f>
        <v/>
      </c>
      <c r="F73" s="16" t="n">
        <v>3</v>
      </c>
      <c r="G73" s="28">
        <f>IF(OR(B73="",C73="",D73=""),"n/a",IF(AND(B73&gt;=$B$3,C73&gt;=$C$3,D73&gt;=$D$3),"Yes","No"))</f>
        <v/>
      </c>
      <c r="H73" s="29" t="n"/>
    </row>
    <row r="74">
      <c r="A74" s="12" t="inlineStr">
        <is>
          <t>Serbia</t>
        </is>
      </c>
      <c r="B74" s="13" t="n">
        <v>6.3</v>
      </c>
      <c r="C74" s="14" t="n">
        <v>33</v>
      </c>
      <c r="D74" s="15" t="n">
        <v>0.73</v>
      </c>
      <c r="E74" s="16">
        <f>IF(OR(B74="",C74="",D74=""),"Insufficient data",IF(AND(B74&gt;=$B$4,C74&gt;=$C$4,D74&gt;=$D$4),"Meets standard",IF(AND(B74&gt;=$B$3,C74&gt;=$C$3,D74&gt;=$D$3),"Above minimum","Below minimum")))</f>
        <v/>
      </c>
      <c r="F74" s="16" t="n">
        <v>3</v>
      </c>
      <c r="G74" s="28">
        <f>IF(OR(B74="",C74="",D74=""),"n/a",IF(AND(B74&gt;=$B$3,C74&gt;=$C$3,D74&gt;=$D$3),"Yes","No"))</f>
        <v/>
      </c>
      <c r="H74" s="29" t="n"/>
    </row>
    <row r="75">
      <c r="A75" s="12" t="inlineStr">
        <is>
          <t>Lesotho</t>
        </is>
      </c>
      <c r="B75" s="13" t="n">
        <v>6.23</v>
      </c>
      <c r="C75" s="14" t="n">
        <v>37</v>
      </c>
      <c r="D75" s="15" t="n">
        <v>0.835</v>
      </c>
      <c r="E75" s="16">
        <f>IF(OR(B75="",C75="",D75=""),"Insufficient data",IF(AND(B75&gt;=$B$4,C75&gt;=$C$4,D75&gt;=$D$4),"Meets standard",IF(AND(B75&gt;=$B$3,C75&gt;=$C$3,D75&gt;=$D$3),"Above minimum","Below minimum")))</f>
        <v/>
      </c>
      <c r="F75" s="16" t="n">
        <v>3</v>
      </c>
      <c r="G75" s="28">
        <f>IF(OR(B75="",C75="",D75=""),"n/a",IF(AND(B75&gt;=$B$3,C75&gt;=$C$3,D75&gt;=$D$3),"Yes","No"))</f>
        <v/>
      </c>
      <c r="H75" s="29" t="n"/>
    </row>
    <row r="76">
      <c r="A76" s="12" t="inlineStr">
        <is>
          <t>Albania</t>
        </is>
      </c>
      <c r="B76" s="13" t="n">
        <v>6.2</v>
      </c>
      <c r="C76" s="14" t="n">
        <v>39</v>
      </c>
      <c r="D76" s="15" t="n">
        <v>0.872</v>
      </c>
      <c r="E76" s="16">
        <f>IF(OR(B76="",C76="",D76=""),"Insufficient data",IF(AND(B76&gt;=$B$4,C76&gt;=$C$4,D76&gt;=$D$4),"Meets standard",IF(AND(B76&gt;=$B$3,C76&gt;=$C$3,D76&gt;=$D$3),"Above minimum","Below minimum")))</f>
        <v/>
      </c>
      <c r="F76" s="16" t="n">
        <v>3</v>
      </c>
      <c r="G76" s="28">
        <f>IF(OR(B76="",C76="",D76=""),"n/a",IF(AND(B76&gt;=$B$3,C76&gt;=$C$3,D76&gt;=$D$3),"Yes","No"))</f>
        <v/>
      </c>
      <c r="H76" s="29" t="n"/>
    </row>
    <row r="77">
      <c r="A77" s="12" t="inlineStr">
        <is>
          <t>Malawi</t>
        </is>
      </c>
      <c r="B77" s="13" t="n">
        <v>6.1</v>
      </c>
      <c r="C77" s="14" t="n">
        <v>34</v>
      </c>
      <c r="D77" s="15" t="n">
        <v>0.806</v>
      </c>
      <c r="E77" s="16">
        <f>IF(OR(B77="",C77="",D77=""),"Insufficient data",IF(AND(B77&gt;=$B$4,C77&gt;=$C$4,D77&gt;=$D$4),"Meets standard",IF(AND(B77&gt;=$B$3,C77&gt;=$C$3,D77&gt;=$D$3),"Above minimum","Below minimum")))</f>
        <v/>
      </c>
      <c r="F77" s="16" t="n">
        <v>3</v>
      </c>
      <c r="G77" s="28">
        <f>IF(OR(B77="",C77="",D77=""),"n/a",IF(AND(B77&gt;=$B$3,C77&gt;=$C$3,D77&gt;=$D$3),"Yes","No"))</f>
        <v/>
      </c>
      <c r="H77" s="29" t="n"/>
    </row>
    <row r="78">
      <c r="A78" s="12" t="inlineStr">
        <is>
          <t>Colombia</t>
        </is>
      </c>
      <c r="B78" s="13" t="n">
        <v>6.04</v>
      </c>
      <c r="C78" s="14" t="n">
        <v>37</v>
      </c>
      <c r="D78" s="15" t="n">
        <v>0.765</v>
      </c>
      <c r="E78" s="16">
        <f>IF(OR(B78="",C78="",D78=""),"Insufficient data",IF(AND(B78&gt;=$B$4,C78&gt;=$C$4,D78&gt;=$D$4),"Meets standard",IF(AND(B78&gt;=$B$3,C78&gt;=$C$3,D78&gt;=$D$3),"Above minimum","Below minimum")))</f>
        <v/>
      </c>
      <c r="F78" s="16" t="n">
        <v>3</v>
      </c>
      <c r="G78" s="28">
        <f>IF(OR(B78="",C78="",D78=""),"n/a",IF(AND(B78&gt;=$B$3,C78&gt;=$C$3,D78&gt;=$D$3),"Yes","No"))</f>
        <v/>
      </c>
      <c r="H78" s="29" t="n"/>
    </row>
    <row r="79">
      <c r="A79" s="12" t="inlineStr">
        <is>
          <t>Paraguay</t>
        </is>
      </c>
      <c r="B79" s="13" t="n">
        <v>6.04</v>
      </c>
      <c r="C79" s="14" t="n">
        <v>24</v>
      </c>
      <c r="D79" s="15" t="n">
        <v>0.805</v>
      </c>
      <c r="E79" s="16">
        <f>IF(OR(B79="",C79="",D79=""),"Insufficient data",IF(AND(B79&gt;=$B$4,C79&gt;=$C$4,D79&gt;=$D$4),"Meets standard",IF(AND(B79&gt;=$B$3,C79&gt;=$C$3,D79&gt;=$D$3),"Above minimum","Below minimum")))</f>
        <v/>
      </c>
      <c r="F79" s="16" t="n">
        <v>3</v>
      </c>
      <c r="G79" s="28">
        <f>IF(OR(B79="",C79="",D79=""),"n/a",IF(AND(B79&gt;=$B$3,C79&gt;=$C$3,D79&gt;=$D$3),"Yes","No"))</f>
        <v/>
      </c>
      <c r="H79" s="29" t="n"/>
    </row>
    <row r="80">
      <c r="A80" s="12" t="inlineStr">
        <is>
          <t>Papua New Guinea</t>
        </is>
      </c>
      <c r="B80" s="13" t="n">
        <v>5.9</v>
      </c>
      <c r="C80" s="14" t="n">
        <v>26</v>
      </c>
      <c r="D80" s="15" t="n">
        <v>0.805</v>
      </c>
      <c r="E80" s="16">
        <f>IF(OR(B80="",C80="",D80=""),"Insufficient data",IF(AND(B80&gt;=$B$4,C80&gt;=$C$4,D80&gt;=$D$4),"Meets standard",IF(AND(B80&gt;=$B$3,C80&gt;=$C$3,D80&gt;=$D$3),"Above minimum","Below minimum")))</f>
        <v/>
      </c>
      <c r="F80" s="16" t="n">
        <v>3</v>
      </c>
      <c r="G80" s="28">
        <f>IF(OR(B80="",C80="",D80=""),"n/a",IF(AND(B80&gt;=$B$3,C80&gt;=$C$3,D80&gt;=$D$3),"Yes","No"))</f>
        <v/>
      </c>
      <c r="H80" s="29" t="n"/>
    </row>
    <row r="81">
      <c r="A81" s="12" t="inlineStr">
        <is>
          <t>Peru</t>
        </is>
      </c>
      <c r="B81" s="13" t="n">
        <v>5.88</v>
      </c>
      <c r="C81" s="14" t="n">
        <v>30</v>
      </c>
      <c r="D81" s="15" t="n">
        <v>0.8</v>
      </c>
      <c r="E81" s="16">
        <f>IF(OR(B81="",C81="",D81=""),"Insufficient data",IF(AND(B81&gt;=$B$4,C81&gt;=$C$4,D81&gt;=$D$4),"Meets standard",IF(AND(B81&gt;=$B$3,C81&gt;=$C$3,D81&gt;=$D$3),"Above minimum","Below minimum")))</f>
        <v/>
      </c>
      <c r="F81" s="16" t="n">
        <v>3</v>
      </c>
      <c r="G81" s="28">
        <f>IF(OR(B81="",C81="",D81=""),"n/a",IF(AND(B81&gt;=$B$3,C81&gt;=$C$3,D81&gt;=$D$3),"Yes","No"))</f>
        <v/>
      </c>
      <c r="H81" s="29" t="n"/>
    </row>
    <row r="82">
      <c r="A82" s="12" t="inlineStr">
        <is>
          <t>Moldova</t>
        </is>
      </c>
      <c r="B82" s="13" t="n">
        <v>5.86</v>
      </c>
      <c r="C82" s="14" t="n">
        <v>42</v>
      </c>
      <c r="D82" s="15" t="n">
        <v>0.842</v>
      </c>
      <c r="E82" s="16">
        <f>IF(OR(B82="",C82="",D82=""),"Insufficient data",IF(AND(B82&gt;=$B$4,C82&gt;=$C$4,D82&gt;=$D$4),"Meets standard",IF(AND(B82&gt;=$B$3,C82&gt;=$C$3,D82&gt;=$D$3),"Above minimum","Below minimum")))</f>
        <v/>
      </c>
      <c r="F82" s="16" t="n">
        <v>3</v>
      </c>
      <c r="G82" s="28">
        <f>IF(OR(B82="",C82="",D82=""),"n/a",IF(AND(B82&gt;=$B$3,C82&gt;=$C$3,D82&gt;=$D$3),"Yes","No"))</f>
        <v/>
      </c>
      <c r="H82" s="29" t="n"/>
    </row>
    <row r="83">
      <c r="A83" s="12" t="inlineStr">
        <is>
          <t>Zambia</t>
        </is>
      </c>
      <c r="B83" s="13" t="n">
        <v>5.82</v>
      </c>
      <c r="C83" s="14" t="n">
        <v>37</v>
      </c>
      <c r="D83" s="15" t="n">
        <v>0.773</v>
      </c>
      <c r="E83" s="16">
        <f>IF(OR(B83="",C83="",D83=""),"Insufficient data",IF(AND(B83&gt;=$B$4,C83&gt;=$C$4,D83&gt;=$D$4),"Meets standard",IF(AND(B83&gt;=$B$3,C83&gt;=$C$3,D83&gt;=$D$3),"Above minimum","Below minimum")))</f>
        <v/>
      </c>
      <c r="F83" s="16" t="n">
        <v>3</v>
      </c>
      <c r="G83" s="28">
        <f>IF(OR(B83="",C83="",D83=""),"n/a",IF(AND(B83&gt;=$B$3,C83&gt;=$C$3,D83&gt;=$D$3),"Yes","No"))</f>
        <v/>
      </c>
      <c r="H83" s="29" t="n"/>
    </row>
    <row r="84">
      <c r="A84" s="12" t="inlineStr">
        <is>
          <t>Bhutan</t>
        </is>
      </c>
      <c r="B84" s="13" t="n">
        <v>5.65</v>
      </c>
      <c r="C84" s="14" t="n">
        <v>71</v>
      </c>
      <c r="D84" s="15" t="n">
        <v>0.701</v>
      </c>
      <c r="E84" s="16">
        <f>IF(OR(B84="",C84="",D84=""),"Insufficient data",IF(AND(B84&gt;=$B$4,C84&gt;=$C$4,D84&gt;=$D$4),"Meets standard",IF(AND(B84&gt;=$B$3,C84&gt;=$C$3,D84&gt;=$D$3),"Above minimum","Below minimum")))</f>
        <v/>
      </c>
      <c r="F84" s="16" t="n">
        <v>3</v>
      </c>
      <c r="G84" s="28">
        <f>IF(OR(B84="",C84="",D84=""),"n/a",IF(AND(B84&gt;=$B$3,C84&gt;=$C$3,D84&gt;=$D$3),"Yes","No"))</f>
        <v/>
      </c>
      <c r="H84" s="29" t="n"/>
    </row>
    <row r="85">
      <c r="A85" s="12" t="inlineStr">
        <is>
          <t>Liberia</t>
        </is>
      </c>
      <c r="B85" s="13" t="n">
        <v>5.57</v>
      </c>
      <c r="C85" s="14" t="n">
        <v>28</v>
      </c>
      <c r="D85" s="15" t="n">
        <v>0.838</v>
      </c>
      <c r="E85" s="16">
        <f>IF(OR(B85="",C85="",D85=""),"Insufficient data",IF(AND(B85&gt;=$B$4,C85&gt;=$C$4,D85&gt;=$D$4),"Meets standard",IF(AND(B85&gt;=$B$3,C85&gt;=$C$3,D85&gt;=$D$3),"Above minimum","Below minimum")))</f>
        <v/>
      </c>
      <c r="F85" s="16" t="n">
        <v>3</v>
      </c>
      <c r="G85" s="28">
        <f>IF(OR(B85="",C85="",D85=""),"n/a",IF(AND(B85&gt;=$B$3,C85&gt;=$C$3,D85&gt;=$D$3),"Yes","No"))</f>
        <v/>
      </c>
      <c r="H85" s="29" t="n"/>
    </row>
    <row r="86">
      <c r="A86" s="12" t="inlineStr">
        <is>
          <t>Mexico</t>
        </is>
      </c>
      <c r="B86" s="13" t="n">
        <v>5.4</v>
      </c>
      <c r="C86" s="14" t="n">
        <v>27</v>
      </c>
      <c r="D86" s="15" t="n">
        <v>0.626</v>
      </c>
      <c r="E86" s="16">
        <f>IF(OR(B86="",C86="",D86=""),"Insufficient data",IF(AND(B86&gt;=$B$4,C86&gt;=$C$4,D86&gt;=$D$4),"Meets standard",IF(AND(B86&gt;=$B$3,C86&gt;=$C$3,D86&gt;=$D$3),"Above minimum","Below minimum")))</f>
        <v/>
      </c>
      <c r="F86" s="16" t="n">
        <v>3</v>
      </c>
      <c r="G86" s="28">
        <f>IF(OR(B86="",C86="",D86=""),"n/a",IF(AND(B86&gt;=$B$3,C86&gt;=$C$3,D86&gt;=$D$3),"Yes","No"))</f>
        <v/>
      </c>
      <c r="H86" s="29" t="n"/>
    </row>
    <row r="87">
      <c r="A87" s="12" t="inlineStr">
        <is>
          <t>Fiji</t>
        </is>
      </c>
      <c r="B87" s="13" t="n">
        <v>5.39</v>
      </c>
      <c r="C87" s="14" t="n">
        <v>55</v>
      </c>
      <c r="D87" s="15" t="n">
        <v>0.774</v>
      </c>
      <c r="E87" s="16">
        <f>IF(OR(B87="",C87="",D87=""),"Insufficient data",IF(AND(B87&gt;=$B$4,C87&gt;=$C$4,D87&gt;=$D$4),"Meets standard",IF(AND(B87&gt;=$B$3,C87&gt;=$C$3,D87&gt;=$D$3),"Above minimum","Below minimum")))</f>
        <v/>
      </c>
      <c r="F87" s="16" t="n">
        <v>3</v>
      </c>
      <c r="G87" s="28">
        <f>IF(OR(B87="",C87="",D87=""),"n/a",IF(AND(B87&gt;=$B$3,C87&gt;=$C$3,D87&gt;=$D$3),"Yes","No"))</f>
        <v/>
      </c>
      <c r="H87" s="29" t="n"/>
    </row>
    <row r="88">
      <c r="A88" s="12" t="inlineStr">
        <is>
          <t>Bolivia</t>
        </is>
      </c>
      <c r="B88" s="13" t="n">
        <v>5.38</v>
      </c>
      <c r="C88" s="14" t="n">
        <v>28</v>
      </c>
      <c r="D88" s="15" t="n">
        <v>0.741</v>
      </c>
      <c r="E88" s="16">
        <f>IF(OR(B88="",C88="",D88=""),"Insufficient data",IF(AND(B88&gt;=$B$4,C88&gt;=$C$4,D88&gt;=$D$4),"Meets standard",IF(AND(B88&gt;=$B$3,C88&gt;=$C$3,D88&gt;=$D$3),"Above minimum","Below minimum")))</f>
        <v/>
      </c>
      <c r="F88" s="16" t="n">
        <v>3</v>
      </c>
      <c r="G88" s="28">
        <f>IF(OR(B88="",C88="",D88=""),"n/a",IF(AND(B88&gt;=$B$3,C88&gt;=$C$3,D88&gt;=$D$3),"Yes","No"))</f>
        <v/>
      </c>
      <c r="H88" s="29" t="n"/>
    </row>
    <row r="89">
      <c r="A89" s="12" t="inlineStr">
        <is>
          <t>Armenia</t>
        </is>
      </c>
      <c r="B89" s="13" t="n">
        <v>5.35</v>
      </c>
      <c r="C89" s="14" t="n">
        <v>46</v>
      </c>
      <c r="D89" s="15" t="n">
        <v>0.8</v>
      </c>
      <c r="E89" s="16">
        <f>IF(OR(B89="",C89="",D89=""),"Insufficient data",IF(AND(B89&gt;=$B$4,C89&gt;=$C$4,D89&gt;=$D$4),"Meets standard",IF(AND(B89&gt;=$B$3,C89&gt;=$C$3,D89&gt;=$D$3),"Above minimum","Below minimum")))</f>
        <v/>
      </c>
      <c r="F89" s="16" t="n">
        <v>3</v>
      </c>
      <c r="G89" s="28">
        <f>IF(OR(B89="",C89="",D89=""),"n/a",IF(AND(B89&gt;=$B$3,C89&gt;=$C$3,D89&gt;=$D$3),"Yes","No"))</f>
        <v/>
      </c>
      <c r="H89" s="29" t="n"/>
    </row>
    <row r="90">
      <c r="A90" s="12" t="inlineStr">
        <is>
          <t>Bosnia and Herzegovina</t>
        </is>
      </c>
      <c r="B90" s="13" t="n">
        <v>5.23</v>
      </c>
      <c r="C90" s="14" t="n">
        <v>34</v>
      </c>
      <c r="D90" s="15" t="n">
        <v>0.8139999999999999</v>
      </c>
      <c r="E90" s="16">
        <f>IF(OR(B90="",C90="",D90=""),"Insufficient data",IF(AND(B90&gt;=$B$4,C90&gt;=$C$4,D90&gt;=$D$4),"Meets standard",IF(AND(B90&gt;=$B$3,C90&gt;=$C$3,D90&gt;=$D$3),"Above minimum","Below minimum")))</f>
        <v/>
      </c>
      <c r="F90" s="16" t="n">
        <v>3</v>
      </c>
      <c r="G90" s="28">
        <f>IF(OR(B90="",C90="",D90=""),"n/a",IF(AND(B90&gt;=$B$3,C90&gt;=$C$3,D90&gt;=$D$3),"Yes","No"))</f>
        <v/>
      </c>
      <c r="H90" s="29" t="n"/>
    </row>
    <row r="91">
      <c r="A91" s="12" t="inlineStr">
        <is>
          <t>Ecuador</t>
        </is>
      </c>
      <c r="B91" s="13" t="n">
        <v>5.2</v>
      </c>
      <c r="C91" s="14" t="n">
        <v>33</v>
      </c>
      <c r="D91" s="15" t="n">
        <v>0.6919999999999999</v>
      </c>
      <c r="E91" s="16">
        <f>IF(OR(B91="",C91="",D91=""),"Insufficient data",IF(AND(B91&gt;=$B$4,C91&gt;=$C$4,D91&gt;=$D$4),"Meets standard",IF(AND(B91&gt;=$B$3,C91&gt;=$C$3,D91&gt;=$D$3),"Above minimum","Below minimum")))</f>
        <v/>
      </c>
      <c r="F91" s="16" t="n">
        <v>3</v>
      </c>
      <c r="G91" s="28">
        <f>IF(OR(B91="",C91="",D91=""),"n/a",IF(AND(B91&gt;=$B$3,C91&gt;=$C$3,D91&gt;=$D$3),"Yes","No"))</f>
        <v/>
      </c>
      <c r="H91" s="29" t="n"/>
    </row>
    <row r="92">
      <c r="A92" s="12" t="inlineStr">
        <is>
          <t>Tanzania</t>
        </is>
      </c>
      <c r="B92" s="13" t="n">
        <v>5.13</v>
      </c>
      <c r="C92" s="14" t="n">
        <v>40</v>
      </c>
      <c r="D92" s="15" t="n">
        <v>0.673</v>
      </c>
      <c r="E92" s="16">
        <f>IF(OR(B92="",C92="",D92=""),"Insufficient data",IF(AND(B92&gt;=$B$4,C92&gt;=$C$4,D92&gt;=$D$4),"Meets standard",IF(AND(B92&gt;=$B$3,C92&gt;=$C$3,D92&gt;=$D$3),"Above minimum","Below minimum")))</f>
        <v/>
      </c>
      <c r="F92" s="16" t="n">
        <v>3</v>
      </c>
      <c r="G92" s="28">
        <f>IF(OR(B92="",C92="",D92=""),"n/a",IF(AND(B92&gt;=$B$3,C92&gt;=$C$3,D92&gt;=$D$3),"Yes","No"))</f>
        <v/>
      </c>
      <c r="H92" s="29" t="n"/>
    </row>
    <row r="93">
      <c r="A93" s="12" t="inlineStr">
        <is>
          <t>Madagascar</t>
        </is>
      </c>
      <c r="B93" s="13" t="n">
        <v>5.06</v>
      </c>
      <c r="C93" s="14" t="n">
        <v>25</v>
      </c>
      <c r="D93" s="15" t="n">
        <v>0.652</v>
      </c>
      <c r="E93" s="16">
        <f>IF(OR(B93="",C93="",D93=""),"Insufficient data",IF(AND(B93&gt;=$B$4,C93&gt;=$C$4,D93&gt;=$D$4),"Meets standard",IF(AND(B93&gt;=$B$3,C93&gt;=$C$3,D93&gt;=$D$3),"Above minimum","Below minimum")))</f>
        <v/>
      </c>
      <c r="F93" s="16" t="n">
        <v>3</v>
      </c>
      <c r="G93" s="28">
        <f>IF(OR(B93="",C93="",D93=""),"n/a",IF(AND(B93&gt;=$B$3,C93&gt;=$C$3,D93&gt;=$D$3),"Yes","No"))</f>
        <v/>
      </c>
      <c r="H93" s="29" t="n"/>
    </row>
    <row r="94">
      <c r="A94" s="12" t="inlineStr">
        <is>
          <t>Kenya</t>
        </is>
      </c>
      <c r="B94" s="13" t="n">
        <v>5.05</v>
      </c>
      <c r="C94" s="14" t="n">
        <v>30</v>
      </c>
      <c r="D94" s="15" t="n">
        <v>0.74</v>
      </c>
      <c r="E94" s="16">
        <f>IF(OR(B94="",C94="",D94=""),"Insufficient data",IF(AND(B94&gt;=$B$4,C94&gt;=$C$4,D94&gt;=$D$4),"Meets standard",IF(AND(B94&gt;=$B$3,C94&gt;=$C$3,D94&gt;=$D$3),"Above minimum","Below minimum")))</f>
        <v/>
      </c>
      <c r="F94" s="16" t="n">
        <v>3</v>
      </c>
      <c r="G94" s="28">
        <f>IF(OR(B94="",C94="",D94=""),"n/a",IF(AND(B94&gt;=$B$3,C94&gt;=$C$3,D94&gt;=$D$3),"Yes","No"))</f>
        <v/>
      </c>
      <c r="H94" s="29" t="n"/>
    </row>
    <row r="95">
      <c r="A95" s="12" t="inlineStr">
        <is>
          <t>Hong Kong</t>
        </is>
      </c>
      <c r="B95" s="13" t="n">
        <v>5.03</v>
      </c>
      <c r="C95" s="14" t="n">
        <v>76</v>
      </c>
      <c r="D95" s="15" t="n">
        <v>0.614</v>
      </c>
      <c r="E95" s="16">
        <f>IF(OR(B95="",C95="",D95=""),"Insufficient data",IF(AND(B95&gt;=$B$4,C95&gt;=$C$4,D95&gt;=$D$4),"Meets standard",IF(AND(B95&gt;=$B$3,C95&gt;=$C$3,D95&gt;=$D$3),"Above minimum","Below minimum")))</f>
        <v/>
      </c>
      <c r="F95" s="16" t="n">
        <v>3</v>
      </c>
      <c r="G95" s="28">
        <f>IF(OR(B95="",C95="",D95=""),"n/a",IF(AND(B95&gt;=$B$3,C95&gt;=$C$3,D95&gt;=$D$3),"Yes","No"))</f>
        <v/>
      </c>
      <c r="H95" s="29" t="n"/>
    </row>
    <row r="96">
      <c r="A96" s="12" t="inlineStr">
        <is>
          <t>Morocco</t>
        </is>
      </c>
      <c r="B96" s="13" t="n">
        <v>4.97</v>
      </c>
      <c r="C96" s="14" t="n">
        <v>39</v>
      </c>
      <c r="D96" s="15" t="n">
        <v>0.645</v>
      </c>
      <c r="E96" s="16">
        <f>IF(OR(B96="",C96="",D96=""),"Insufficient data",IF(AND(B96&gt;=$B$4,C96&gt;=$C$4,D96&gt;=$D$4),"Meets standard",IF(AND(B96&gt;=$B$3,C96&gt;=$C$3,D96&gt;=$D$3),"Above minimum","Below minimum")))</f>
        <v/>
      </c>
      <c r="F96" s="16" t="n">
        <v>3</v>
      </c>
      <c r="G96" s="28">
        <f>IF(OR(B96="",C96="",D96=""),"n/a",IF(AND(B96&gt;=$B$3,C96&gt;=$C$3,D96&gt;=$D$3),"Yes","No"))</f>
        <v/>
      </c>
      <c r="H96" s="29" t="n"/>
    </row>
    <row r="97">
      <c r="A97" s="12" t="inlineStr">
        <is>
          <t>Honduras</t>
        </is>
      </c>
      <c r="B97" s="13" t="n">
        <v>4.87</v>
      </c>
      <c r="C97" s="14" t="n">
        <v>22</v>
      </c>
      <c r="D97" s="15" t="n">
        <v>0.819</v>
      </c>
      <c r="E97" s="16">
        <f>IF(OR(B97="",C97="",D97=""),"Insufficient data",IF(AND(B97&gt;=$B$4,C97&gt;=$C$4,D97&gt;=$D$4),"Meets standard",IF(AND(B97&gt;=$B$3,C97&gt;=$C$3,D97&gt;=$D$3),"Above minimum","Below minimum")))</f>
        <v/>
      </c>
      <c r="F97" s="16" t="n">
        <v>3</v>
      </c>
      <c r="G97" s="28">
        <f>IF(OR(B97="",C97="",D97=""),"n/a",IF(AND(B97&gt;=$B$3,C97&gt;=$C$3,D97&gt;=$D$3),"Yes","No"))</f>
        <v/>
      </c>
      <c r="H97" s="29" t="n"/>
    </row>
    <row r="98">
      <c r="A98" s="12" t="inlineStr">
        <is>
          <t>Ukraine</t>
        </is>
      </c>
      <c r="B98" s="13" t="n">
        <v>4.79</v>
      </c>
      <c r="C98" s="14" t="n">
        <v>36</v>
      </c>
      <c r="D98" s="15" t="n">
        <v>0.578</v>
      </c>
      <c r="E98" s="16">
        <f>IF(OR(B98="",C98="",D98=""),"Insufficient data",IF(AND(B98&gt;=$B$4,C98&gt;=$C$4,D98&gt;=$D$4),"Meets standard",IF(AND(B98&gt;=$B$3,C98&gt;=$C$3,D98&gt;=$D$3),"Above minimum","Below minimum")))</f>
        <v/>
      </c>
      <c r="F98" s="16" t="n">
        <v>3</v>
      </c>
      <c r="G98" s="28">
        <f>IF(OR(B98="",C98="",D98=""),"n/a",IF(AND(B98&gt;=$B$3,C98&gt;=$C$3,D98&gt;=$D$3),"Yes","No"))</f>
        <v/>
      </c>
      <c r="H98" s="29" t="n"/>
    </row>
    <row r="99">
      <c r="A99" s="12" t="inlineStr">
        <is>
          <t>Tunisia</t>
        </is>
      </c>
      <c r="B99" s="13" t="n">
        <v>4.65</v>
      </c>
      <c r="C99" s="14" t="n">
        <v>39</v>
      </c>
      <c r="D99" s="15" t="n">
        <v>0.6850000000000001</v>
      </c>
      <c r="E99" s="16">
        <f>IF(OR(B99="",C99="",D99=""),"Insufficient data",IF(AND(B99&gt;=$B$4,C99&gt;=$C$4,D99&gt;=$D$4),"Meets standard",IF(AND(B99&gt;=$B$3,C99&gt;=$C$3,D99&gt;=$D$3),"Above minimum","Below minimum")))</f>
        <v/>
      </c>
      <c r="F99" s="16" t="n">
        <v>3</v>
      </c>
      <c r="G99" s="28">
        <f>IF(OR(B99="",C99="",D99=""),"n/a",IF(AND(B99&gt;=$B$3,C99&gt;=$C$3,D99&gt;=$D$3),"Yes","No"))</f>
        <v/>
      </c>
      <c r="H99" s="29" t="n"/>
    </row>
    <row r="100">
      <c r="A100" s="12" t="inlineStr">
        <is>
          <t>Guatemala</t>
        </is>
      </c>
      <c r="B100" s="13" t="n">
        <v>4.65</v>
      </c>
      <c r="C100" s="14" t="n">
        <v>26</v>
      </c>
      <c r="D100" s="15" t="n">
        <v>0.766</v>
      </c>
      <c r="E100" s="16">
        <f>IF(OR(B100="",C100="",D100=""),"Insufficient data",IF(AND(B100&gt;=$B$4,C100&gt;=$C$4,D100&gt;=$D$4),"Meets standard",IF(AND(B100&gt;=$B$3,C100&gt;=$C$3,D100&gt;=$D$3),"Above minimum","Below minimum")))</f>
        <v/>
      </c>
      <c r="F100" s="16" t="n">
        <v>3</v>
      </c>
      <c r="G100" s="28">
        <f>IF(OR(B100="",C100="",D100=""),"n/a",IF(AND(B100&gt;=$B$3,C100&gt;=$C$3,D100&gt;=$D$3),"Yes","No"))</f>
        <v/>
      </c>
      <c r="H100" s="29" t="n"/>
    </row>
    <row r="101">
      <c r="A101" s="12" t="inlineStr">
        <is>
          <t>El Salvador</t>
        </is>
      </c>
      <c r="B101" s="13" t="n">
        <v>4.57</v>
      </c>
      <c r="C101" s="14" t="n">
        <v>32</v>
      </c>
      <c r="D101" s="15" t="n">
        <v>0.511</v>
      </c>
      <c r="E101" s="16">
        <f>IF(OR(B101="",C101="",D101=""),"Insufficient data",IF(AND(B101&gt;=$B$4,C101&gt;=$C$4,D101&gt;=$D$4),"Meets standard",IF(AND(B101&gt;=$B$3,C101&gt;=$C$3,D101&gt;=$D$3),"Above minimum","Below minimum")))</f>
        <v/>
      </c>
      <c r="F101" s="16" t="n">
        <v>3</v>
      </c>
      <c r="G101" s="28">
        <f>IF(OR(B101="",C101="",D101=""),"n/a",IF(AND(B101&gt;=$B$3,C101&gt;=$C$3,D101&gt;=$D$3),"Yes","No"))</f>
        <v/>
      </c>
      <c r="H101" s="29" t="n"/>
    </row>
    <row r="102">
      <c r="A102" s="12" t="inlineStr">
        <is>
          <t>Gambia</t>
        </is>
      </c>
      <c r="B102" s="13" t="n">
        <v>4.47</v>
      </c>
      <c r="C102" s="14" t="n">
        <v>37</v>
      </c>
      <c r="D102" s="15" t="n">
        <v>0.88</v>
      </c>
      <c r="E102" s="16">
        <f>IF(OR(B102="",C102="",D102=""),"Insufficient data",IF(AND(B102&gt;=$B$4,C102&gt;=$C$4,D102&gt;=$D$4),"Meets standard",IF(AND(B102&gt;=$B$3,C102&gt;=$C$3,D102&gt;=$D$3),"Above minimum","Below minimum")))</f>
        <v/>
      </c>
      <c r="F102" s="16" t="n">
        <v>3</v>
      </c>
      <c r="G102" s="28">
        <f>IF(OR(B102="",C102="",D102=""),"n/a",IF(AND(B102&gt;=$B$3,C102&gt;=$C$3,D102&gt;=$D$3),"Yes","No"))</f>
        <v/>
      </c>
      <c r="H102" s="29" t="n"/>
    </row>
    <row r="103">
      <c r="A103" s="12" t="inlineStr">
        <is>
          <t>Sierra Leone</t>
        </is>
      </c>
      <c r="B103" s="13" t="n">
        <v>4.44</v>
      </c>
      <c r="C103" s="14" t="n">
        <v>34</v>
      </c>
      <c r="D103" s="15" t="n">
        <v>0.792</v>
      </c>
      <c r="E103" s="16">
        <f>IF(OR(B103="",C103="",D103=""),"Insufficient data",IF(AND(B103&gt;=$B$4,C103&gt;=$C$4,D103&gt;=$D$4),"Meets standard",IF(AND(B103&gt;=$B$3,C103&gt;=$C$3,D103&gt;=$D$3),"Above minimum","Below minimum")))</f>
        <v/>
      </c>
      <c r="F103" s="16" t="n">
        <v>3</v>
      </c>
      <c r="G103" s="28">
        <f>IF(OR(B103="",C103="",D103=""),"n/a",IF(AND(B103&gt;=$B$3,C103&gt;=$C$3,D103&gt;=$D$3),"Yes","No"))</f>
        <v/>
      </c>
      <c r="H103" s="29" t="n"/>
    </row>
    <row r="104">
      <c r="A104" s="12" t="inlineStr">
        <is>
          <t>Georgia</t>
        </is>
      </c>
      <c r="B104" s="13" t="n">
        <v>4.36</v>
      </c>
      <c r="C104" s="14" t="n">
        <v>50</v>
      </c>
      <c r="D104" s="15" t="n">
        <v>0.7</v>
      </c>
      <c r="E104" s="16">
        <f>IF(OR(B104="",C104="",D104=""),"Insufficient data",IF(AND(B104&gt;=$B$4,C104&gt;=$C$4,D104&gt;=$D$4),"Meets standard",IF(AND(B104&gt;=$B$3,C104&gt;=$C$3,D104&gt;=$D$3),"Above minimum","Below minimum")))</f>
        <v/>
      </c>
      <c r="F104" s="16" t="n">
        <v>3</v>
      </c>
      <c r="G104" s="28">
        <f>IF(OR(B104="",C104="",D104=""),"n/a",IF(AND(B104&gt;=$B$3,C104&gt;=$C$3,D104&gt;=$D$3),"Yes","No"))</f>
        <v/>
      </c>
      <c r="H104" s="29" t="n"/>
    </row>
    <row r="105">
      <c r="A105" s="12" t="inlineStr">
        <is>
          <t>Uganda</t>
        </is>
      </c>
      <c r="B105" s="13" t="n">
        <v>4.31</v>
      </c>
      <c r="C105" s="14" t="n">
        <v>25</v>
      </c>
      <c r="D105" s="15" t="n">
        <v>0.315</v>
      </c>
      <c r="E105" s="16">
        <f>IF(OR(B105="",C105="",D105=""),"Insufficient data",IF(AND(B105&gt;=$B$4,C105&gt;=$C$4,D105&gt;=$D$4),"Meets standard",IF(AND(B105&gt;=$B$3,C105&gt;=$C$3,D105&gt;=$D$3),"Above minimum","Below minimum")))</f>
        <v/>
      </c>
      <c r="F105" s="16" t="n">
        <v>3</v>
      </c>
      <c r="G105" s="28">
        <f>IF(OR(B105="",C105="",D105=""),"n/a",IF(AND(B105&gt;=$B$3,C105&gt;=$C$3,D105&gt;=$D$3),"Yes","No"))</f>
        <v/>
      </c>
      <c r="H105" s="29" t="n"/>
    </row>
    <row r="106">
      <c r="A106" s="12" t="inlineStr">
        <is>
          <t>Bangladesh</t>
        </is>
      </c>
      <c r="B106" s="13" t="n">
        <v>4.27</v>
      </c>
      <c r="C106" s="14" t="n">
        <v>24</v>
      </c>
      <c r="D106" s="15" t="n">
        <v>0.628</v>
      </c>
      <c r="E106" s="16">
        <f>IF(OR(B106="",C106="",D106=""),"Insufficient data",IF(AND(B106&gt;=$B$4,C106&gt;=$C$4,D106&gt;=$D$4),"Meets standard",IF(AND(B106&gt;=$B$3,C106&gt;=$C$3,D106&gt;=$D$3),"Above minimum","Below minimum")))</f>
        <v/>
      </c>
      <c r="F106" s="16" t="n">
        <v>3</v>
      </c>
      <c r="G106" s="28">
        <f>IF(OR(B106="",C106="",D106=""),"n/a",IF(AND(B106&gt;=$B$3,C106&gt;=$C$3,D106&gt;=$D$3),"Yes","No"))</f>
        <v/>
      </c>
      <c r="H106" s="29" t="n"/>
    </row>
    <row r="107">
      <c r="A107" s="12" t="inlineStr">
        <is>
          <t>Benin</t>
        </is>
      </c>
      <c r="B107" s="13" t="n">
        <v>4.26</v>
      </c>
      <c r="C107" s="14" t="n">
        <v>45</v>
      </c>
      <c r="D107" s="15" t="n">
        <v>0.836</v>
      </c>
      <c r="E107" s="16">
        <f>IF(OR(B107="",C107="",D107=""),"Insufficient data",IF(AND(B107&gt;=$B$4,C107&gt;=$C$4,D107&gt;=$D$4),"Meets standard",IF(AND(B107&gt;=$B$3,C107&gt;=$C$3,D107&gt;=$D$3),"Above minimum","Below minimum")))</f>
        <v/>
      </c>
      <c r="F107" s="16" t="n">
        <v>3</v>
      </c>
      <c r="G107" s="28">
        <f>IF(OR(B107="",C107="",D107=""),"n/a",IF(AND(B107&gt;=$B$3,C107&gt;=$C$3,D107&gt;=$D$3),"Yes","No"))</f>
        <v/>
      </c>
      <c r="H107" s="29" t="n"/>
    </row>
    <row r="108">
      <c r="A108" s="12" t="inlineStr">
        <is>
          <t>Turkey</t>
        </is>
      </c>
      <c r="B108" s="13" t="n">
        <v>4.26</v>
      </c>
      <c r="C108" s="14" t="n">
        <v>31</v>
      </c>
      <c r="D108" s="15" t="n">
        <v>0.402</v>
      </c>
      <c r="E108" s="16">
        <f>IF(OR(B108="",C108="",D108=""),"Insufficient data",IF(AND(B108&gt;=$B$4,C108&gt;=$C$4,D108&gt;=$D$4),"Meets standard",IF(AND(B108&gt;=$B$3,C108&gt;=$C$3,D108&gt;=$D$3),"Above minimum","Below minimum")))</f>
        <v/>
      </c>
      <c r="F108" s="16" t="n">
        <v>3</v>
      </c>
      <c r="G108" s="28">
        <f>IF(OR(B108="",C108="",D108=""),"n/a",IF(AND(B108&gt;=$B$3,C108&gt;=$C$3,D108&gt;=$D$3),"Yes","No"))</f>
        <v/>
      </c>
      <c r="H108" s="29" t="n"/>
    </row>
    <row r="109">
      <c r="A109" s="12" t="inlineStr">
        <is>
          <t>Ivory Coast</t>
        </is>
      </c>
      <c r="B109" s="13" t="n">
        <v>4.24</v>
      </c>
      <c r="C109" s="14" t="n">
        <v>43</v>
      </c>
      <c r="D109" s="15" t="n">
        <v>0.7</v>
      </c>
      <c r="E109" s="16">
        <f>IF(OR(B109="",C109="",D109=""),"Insufficient data",IF(AND(B109&gt;=$B$4,C109&gt;=$C$4,D109&gt;=$D$4),"Meets standard",IF(AND(B109&gt;=$B$3,C109&gt;=$C$3,D109&gt;=$D$3),"Above minimum","Below minimum")))</f>
        <v/>
      </c>
      <c r="F109" s="16" t="n">
        <v>3</v>
      </c>
      <c r="G109" s="28">
        <f>IF(OR(B109="",C109="",D109=""),"n/a",IF(AND(B109&gt;=$B$3,C109&gt;=$C$3,D109&gt;=$D$3),"Yes","No"))</f>
        <v/>
      </c>
      <c r="H109" s="29" t="n"/>
    </row>
    <row r="110">
      <c r="A110" s="12" t="inlineStr">
        <is>
          <t>Nigeria</t>
        </is>
      </c>
      <c r="B110" s="13" t="n">
        <v>4.1</v>
      </c>
      <c r="C110" s="14" t="n">
        <v>26</v>
      </c>
      <c r="D110" s="15" t="n">
        <v>0.674</v>
      </c>
      <c r="E110" s="16">
        <f>IF(OR(B110="",C110="",D110=""),"Insufficient data",IF(AND(B110&gt;=$B$4,C110&gt;=$C$4,D110&gt;=$D$4),"Meets standard",IF(AND(B110&gt;=$B$3,C110&gt;=$C$3,D110&gt;=$D$3),"Above minimum","Below minimum")))</f>
        <v/>
      </c>
      <c r="F110" s="16" t="n">
        <v>3</v>
      </c>
      <c r="G110" s="28">
        <f>IF(OR(B110="",C110="",D110=""),"n/a",IF(AND(B110&gt;=$B$3,C110&gt;=$C$3,D110&gt;=$D$3),"Yes","No"))</f>
        <v/>
      </c>
      <c r="H110" s="29" t="n"/>
    </row>
    <row r="111">
      <c r="A111" s="12" t="inlineStr">
        <is>
          <t>Nepal</t>
        </is>
      </c>
      <c r="B111" s="13" t="n">
        <v>4.01</v>
      </c>
      <c r="C111" s="14" t="n">
        <v>34</v>
      </c>
      <c r="D111" s="15" t="n">
        <v>0.742</v>
      </c>
      <c r="E111" s="16">
        <f>IF(OR(B111="",C111="",D111=""),"Insufficient data",IF(AND(B111&gt;=$B$4,C111&gt;=$C$4,D111&gt;=$D$4),"Meets standard",IF(AND(B111&gt;=$B$3,C111&gt;=$C$3,D111&gt;=$D$3),"Above minimum","Below minimum")))</f>
        <v/>
      </c>
      <c r="F111" s="16" t="n">
        <v>3</v>
      </c>
      <c r="G111" s="28">
        <f>IF(OR(B111="",C111="",D111=""),"n/a",IF(AND(B111&gt;=$B$3,C111&gt;=$C$3,D111&gt;=$D$3),"Yes","No"))</f>
        <v/>
      </c>
      <c r="H111" s="29" t="n"/>
    </row>
    <row r="112">
      <c r="A112" s="12" t="inlineStr">
        <is>
          <t>Angola</t>
        </is>
      </c>
      <c r="B112" s="13" t="n">
        <v>3.94</v>
      </c>
      <c r="C112" s="14" t="n">
        <v>32</v>
      </c>
      <c r="D112" s="15" t="n">
        <v>0.624</v>
      </c>
      <c r="E112" s="16">
        <f>IF(OR(B112="",C112="",D112=""),"Insufficient data",IF(AND(B112&gt;=$B$4,C112&gt;=$C$4,D112&gt;=$D$4),"Meets standard",IF(AND(B112&gt;=$B$3,C112&gt;=$C$3,D112&gt;=$D$3),"Above minimum","Below minimum")))</f>
        <v/>
      </c>
      <c r="F112" s="16" t="n">
        <v>3</v>
      </c>
      <c r="G112" s="28">
        <f>IF(OR(B112="",C112="",D112=""),"n/a",IF(AND(B112&gt;=$B$3,C112&gt;=$C$3,D112&gt;=$D$3),"Yes","No"))</f>
        <v/>
      </c>
      <c r="H112" s="29" t="n"/>
    </row>
    <row r="113">
      <c r="A113" s="12" t="inlineStr">
        <is>
          <t>Mauritania</t>
        </is>
      </c>
      <c r="B113" s="13" t="n">
        <v>3.84</v>
      </c>
      <c r="C113" s="14" t="n">
        <v>30</v>
      </c>
      <c r="D113" s="15" t="n">
        <v>0.513</v>
      </c>
      <c r="E113" s="16">
        <f>IF(OR(B113="",C113="",D113=""),"Insufficient data",IF(AND(B113&gt;=$B$4,C113&gt;=$C$4,D113&gt;=$D$4),"Meets standard",IF(AND(B113&gt;=$B$3,C113&gt;=$C$3,D113&gt;=$D$3),"Above minimum","Below minimum")))</f>
        <v/>
      </c>
      <c r="F113" s="16" t="n">
        <v>3</v>
      </c>
      <c r="G113" s="28">
        <f>IF(OR(B113="",C113="",D113=""),"n/a",IF(AND(B113&gt;=$B$3,C113&gt;=$C$3,D113&gt;=$D$3),"Yes","No"))</f>
        <v/>
      </c>
      <c r="H113" s="29" t="n"/>
    </row>
    <row r="114">
      <c r="A114" s="12" t="inlineStr">
        <is>
          <t>Lebanon</t>
        </is>
      </c>
      <c r="B114" s="13" t="n">
        <v>3.81</v>
      </c>
      <c r="C114" s="14" t="n">
        <v>23</v>
      </c>
      <c r="D114" s="15" t="n">
        <v>0.6889999999999999</v>
      </c>
      <c r="E114" s="16">
        <f>IF(OR(B114="",C114="",D114=""),"Insufficient data",IF(AND(B114&gt;=$B$4,C114&gt;=$C$4,D114&gt;=$D$4),"Meets standard",IF(AND(B114&gt;=$B$3,C114&gt;=$C$3,D114&gt;=$D$3),"Above minimum","Below minimum")))</f>
        <v/>
      </c>
      <c r="F114" s="16" t="n">
        <v>3</v>
      </c>
      <c r="G114" s="28">
        <f>IF(OR(B114="",C114="",D114=""),"n/a",IF(AND(B114&gt;=$B$3,C114&gt;=$C$3,D114&gt;=$D$3),"Yes","No"))</f>
        <v/>
      </c>
      <c r="H114" s="29" t="n"/>
    </row>
    <row r="115">
      <c r="A115" s="12" t="inlineStr">
        <is>
          <t>Algeria</t>
        </is>
      </c>
      <c r="B115" s="13" t="n">
        <v>3.55</v>
      </c>
      <c r="C115" s="14" t="n">
        <v>34</v>
      </c>
      <c r="D115" s="15" t="n">
        <v>0.424</v>
      </c>
      <c r="E115" s="16">
        <f>IF(OR(B115="",C115="",D115=""),"Insufficient data",IF(AND(B115&gt;=$B$4,C115&gt;=$C$4,D115&gt;=$D$4),"Meets standard",IF(AND(B115&gt;=$B$3,C115&gt;=$C$3,D115&gt;=$D$3),"Above minimum","Below minimum")))</f>
        <v/>
      </c>
      <c r="F115" s="16" t="n">
        <v>3</v>
      </c>
      <c r="G115" s="28">
        <f>IF(OR(B115="",C115="",D115=""),"n/a",IF(AND(B115&gt;=$B$3,C115&gt;=$C$3,D115&gt;=$D$3),"Yes","No"))</f>
        <v/>
      </c>
      <c r="H115" s="29" t="n"/>
    </row>
    <row r="116">
      <c r="A116" s="12" t="inlineStr">
        <is>
          <t>Gabon</t>
        </is>
      </c>
      <c r="B116" s="13" t="n">
        <v>3.49</v>
      </c>
      <c r="C116" s="14" t="n">
        <v>29</v>
      </c>
      <c r="D116" s="15" t="n">
        <v>0.788</v>
      </c>
      <c r="E116" s="16">
        <f>IF(OR(B116="",C116="",D116=""),"Insufficient data",IF(AND(B116&gt;=$B$4,C116&gt;=$C$4,D116&gt;=$D$4),"Meets standard",IF(AND(B116&gt;=$B$3,C116&gt;=$C$3,D116&gt;=$D$3),"Above minimum","Below minimum")))</f>
        <v/>
      </c>
      <c r="F116" s="16" t="n">
        <v>3</v>
      </c>
      <c r="G116" s="28">
        <f>IF(OR(B116="",C116="",D116=""),"n/a",IF(AND(B116&gt;=$B$3,C116&gt;=$C$3,D116&gt;=$D$3),"Yes","No"))</f>
        <v/>
      </c>
      <c r="H116" s="29" t="n"/>
    </row>
    <row r="117">
      <c r="A117" s="12" t="inlineStr">
        <is>
          <t>Mozambique</t>
        </is>
      </c>
      <c r="B117" s="13" t="n">
        <v>3.38</v>
      </c>
      <c r="C117" s="14" t="n">
        <v>21</v>
      </c>
      <c r="D117" s="15" t="n">
        <v>0.483</v>
      </c>
      <c r="E117" s="16">
        <f>IF(OR(B117="",C117="",D117=""),"Insufficient data",IF(AND(B117&gt;=$B$4,C117&gt;=$C$4,D117&gt;=$D$4),"Meets standard",IF(AND(B117&gt;=$B$3,C117&gt;=$C$3,D117&gt;=$D$3),"Above minimum","Below minimum")))</f>
        <v/>
      </c>
      <c r="F117" s="16" t="n">
        <v>3</v>
      </c>
      <c r="G117" s="28">
        <f>IF(OR(B117="",C117="",D117=""),"n/a",IF(AND(B117&gt;=$B$3,C117&gt;=$C$3,D117&gt;=$D$3),"Yes","No"))</f>
        <v/>
      </c>
      <c r="H117" s="29" t="n"/>
    </row>
    <row r="118">
      <c r="A118" s="12" t="inlineStr">
        <is>
          <t>Rwanda</t>
        </is>
      </c>
      <c r="B118" s="13" t="n">
        <v>3.34</v>
      </c>
      <c r="C118" s="14" t="n">
        <v>58</v>
      </c>
      <c r="D118" s="15" t="n">
        <v>0.194</v>
      </c>
      <c r="E118" s="16">
        <f>IF(OR(B118="",C118="",D118=""),"Insufficient data",IF(AND(B118&gt;=$B$4,C118&gt;=$C$4,D118&gt;=$D$4),"Meets standard",IF(AND(B118&gt;=$B$3,C118&gt;=$C$3,D118&gt;=$D$3),"Above minimum","Below minimum")))</f>
        <v/>
      </c>
      <c r="F118" s="16" t="n">
        <v>3</v>
      </c>
      <c r="G118" s="28">
        <f>IF(OR(B118="",C118="",D118=""),"n/a",IF(AND(B118&gt;=$B$3,C118&gt;=$C$3,D118&gt;=$D$3),"Yes","No"))</f>
        <v/>
      </c>
      <c r="H118" s="29" t="n"/>
    </row>
    <row r="119">
      <c r="A119" s="12" t="inlineStr">
        <is>
          <t>Jordan</t>
        </is>
      </c>
      <c r="B119" s="13" t="n">
        <v>3.28</v>
      </c>
      <c r="C119" s="14" t="n">
        <v>50</v>
      </c>
      <c r="D119" s="15" t="n">
        <v>0.672</v>
      </c>
      <c r="E119" s="16">
        <f>IF(OR(B119="",C119="",D119=""),"Insufficient data",IF(AND(B119&gt;=$B$4,C119&gt;=$C$4,D119&gt;=$D$4),"Meets standard",IF(AND(B119&gt;=$B$3,C119&gt;=$C$3,D119&gt;=$D$3),"Above minimum","Below minimum")))</f>
        <v/>
      </c>
      <c r="F119" s="16" t="n">
        <v>3</v>
      </c>
      <c r="G119" s="28">
        <f>IF(OR(B119="",C119="",D119=""),"n/a",IF(AND(B119&gt;=$B$3,C119&gt;=$C$3,D119&gt;=$D$3),"Yes","No"))</f>
        <v/>
      </c>
      <c r="H119" s="29" t="n"/>
    </row>
    <row r="120">
      <c r="A120" s="12" t="inlineStr">
        <is>
          <t>Kyrgyzstan</t>
        </is>
      </c>
      <c r="B120" s="13" t="n">
        <v>3.27</v>
      </c>
      <c r="C120" s="14" t="n">
        <v>26</v>
      </c>
      <c r="D120" s="15" t="n">
        <v>0.478</v>
      </c>
      <c r="E120" s="16">
        <f>IF(OR(B120="",C120="",D120=""),"Insufficient data",IF(AND(B120&gt;=$B$4,C120&gt;=$C$4,D120&gt;=$D$4),"Meets standard",IF(AND(B120&gt;=$B$3,C120&gt;=$C$3,D120&gt;=$D$3),"Above minimum","Below minimum")))</f>
        <v/>
      </c>
      <c r="F120" s="16" t="n">
        <v>3</v>
      </c>
      <c r="G120" s="28">
        <f>IF(OR(B120="",C120="",D120=""),"n/a",IF(AND(B120&gt;=$B$3,C120&gt;=$C$3,D120&gt;=$D$3),"Yes","No"))</f>
        <v/>
      </c>
      <c r="H120" s="29" t="n"/>
    </row>
    <row r="121">
      <c r="A121" s="12" t="inlineStr">
        <is>
          <t>United Arab Emirates</t>
        </is>
      </c>
      <c r="B121" s="13" t="n">
        <v>3.18</v>
      </c>
      <c r="C121" s="14" t="n">
        <v>69</v>
      </c>
      <c r="D121" s="15" t="n">
        <v>0.339</v>
      </c>
      <c r="E121" s="16">
        <f>IF(OR(B121="",C121="",D121=""),"Insufficient data",IF(AND(B121&gt;=$B$4,C121&gt;=$C$4,D121&gt;=$D$4),"Meets standard",IF(AND(B121&gt;=$B$3,C121&gt;=$C$3,D121&gt;=$D$3),"Above minimum","Below minimum")))</f>
        <v/>
      </c>
      <c r="F121" s="16" t="n">
        <v>3</v>
      </c>
      <c r="G121" s="28">
        <f>IF(OR(B121="",C121="",D121=""),"n/a",IF(AND(B121&gt;=$B$3,C121&gt;=$C$3,D121&gt;=$D$3),"Yes","No"))</f>
        <v/>
      </c>
      <c r="H121" s="29" t="n"/>
    </row>
    <row r="122">
      <c r="A122" s="12" t="inlineStr">
        <is>
          <t>Qatar</t>
        </is>
      </c>
      <c r="B122" s="13" t="n">
        <v>3.17</v>
      </c>
      <c r="C122" s="14" t="n">
        <v>58</v>
      </c>
      <c r="D122" s="15" t="n">
        <v>0.357</v>
      </c>
      <c r="E122" s="16">
        <f>IF(OR(B122="",C122="",D122=""),"Insufficient data",IF(AND(B122&gt;=$B$4,C122&gt;=$C$4,D122&gt;=$D$4),"Meets standard",IF(AND(B122&gt;=$B$3,C122&gt;=$C$3,D122&gt;=$D$3),"Above minimum","Below minimum")))</f>
        <v/>
      </c>
      <c r="F122" s="16" t="n">
        <v>3</v>
      </c>
      <c r="G122" s="28">
        <f>IF(OR(B122="",C122="",D122=""),"n/a",IF(AND(B122&gt;=$B$3,C122&gt;=$C$3,D122&gt;=$D$3),"Yes","No"))</f>
        <v/>
      </c>
      <c r="H122" s="29" t="n"/>
    </row>
    <row r="123">
      <c r="A123" s="12" t="inlineStr">
        <is>
          <t>Ethiopia</t>
        </is>
      </c>
      <c r="B123" s="13" t="n">
        <v>3.13</v>
      </c>
      <c r="C123" s="14" t="n">
        <v>38</v>
      </c>
      <c r="D123" s="15" t="n">
        <v>0.304</v>
      </c>
      <c r="E123" s="16">
        <f>IF(OR(B123="",C123="",D123=""),"Insufficient data",IF(AND(B123&gt;=$B$4,C123&gt;=$C$4,D123&gt;=$D$4),"Meets standard",IF(AND(B123&gt;=$B$3,C123&gt;=$C$3,D123&gt;=$D$3),"Above minimum","Below minimum")))</f>
        <v/>
      </c>
      <c r="F123" s="16" t="n">
        <v>3</v>
      </c>
      <c r="G123" s="28">
        <f>IF(OR(B123="",C123="",D123=""),"n/a",IF(AND(B123&gt;=$B$3,C123&gt;=$C$3,D123&gt;=$D$3),"Yes","No"))</f>
        <v/>
      </c>
      <c r="H123" s="29" t="n"/>
    </row>
    <row r="124">
      <c r="A124" s="12" t="inlineStr">
        <is>
          <t>Iraq</t>
        </is>
      </c>
      <c r="B124" s="13" t="n">
        <v>3.13</v>
      </c>
      <c r="C124" s="14" t="n">
        <v>28</v>
      </c>
      <c r="D124" s="15" t="n">
        <v>0.521</v>
      </c>
      <c r="E124" s="16">
        <f>IF(OR(B124="",C124="",D124=""),"Insufficient data",IF(AND(B124&gt;=$B$4,C124&gt;=$C$4,D124&gt;=$D$4),"Meets standard",IF(AND(B124&gt;=$B$3,C124&gt;=$C$3,D124&gt;=$D$3),"Above minimum","Below minimum")))</f>
        <v/>
      </c>
      <c r="F124" s="16" t="n">
        <v>3</v>
      </c>
      <c r="G124" s="28">
        <f>IF(OR(B124="",C124="",D124=""),"n/a",IF(AND(B124&gt;=$B$3,C124&gt;=$C$3,D124&gt;=$D$3),"Yes","No"))</f>
        <v/>
      </c>
      <c r="H124" s="29" t="n"/>
    </row>
    <row r="125">
      <c r="A125" s="12" t="inlineStr">
        <is>
          <t>Oman</t>
        </is>
      </c>
      <c r="B125" s="13" t="n">
        <v>3.05</v>
      </c>
      <c r="C125" s="14" t="n">
        <v>52</v>
      </c>
      <c r="D125" s="15" t="n">
        <v>0.446</v>
      </c>
      <c r="E125" s="16">
        <f>IF(OR(B125="",C125="",D125=""),"Insufficient data",IF(AND(B125&gt;=$B$4,C125&gt;=$C$4,D125&gt;=$D$4),"Meets standard",IF(AND(B125&gt;=$B$3,C125&gt;=$C$3,D125&gt;=$D$3),"Above minimum","Below minimum")))</f>
        <v/>
      </c>
      <c r="F125" s="16" t="n">
        <v>3</v>
      </c>
      <c r="G125" s="28">
        <f>IF(OR(B125="",C125="",D125=""),"n/a",IF(AND(B125&gt;=$B$3,C125&gt;=$C$3,D125&gt;=$D$3),"Yes","No"))</f>
        <v/>
      </c>
      <c r="H125" s="29" t="n"/>
    </row>
    <row r="126">
      <c r="A126" s="12" t="inlineStr">
        <is>
          <t>Zimbabwe</t>
        </is>
      </c>
      <c r="B126" s="13" t="n">
        <v>2.98</v>
      </c>
      <c r="C126" s="14" t="n">
        <v>22</v>
      </c>
      <c r="D126" s="15" t="n">
        <v>0.381</v>
      </c>
      <c r="E126" s="16">
        <f>IF(OR(B126="",C126="",D126=""),"Insufficient data",IF(AND(B126&gt;=$B$4,C126&gt;=$C$4,D126&gt;=$D$4),"Meets standard",IF(AND(B126&gt;=$B$3,C126&gt;=$C$3,D126&gt;=$D$3),"Above minimum","Below minimum")))</f>
        <v/>
      </c>
      <c r="F126" s="16" t="n">
        <v>3</v>
      </c>
      <c r="G126" s="28">
        <f>IF(OR(B126="",C126="",D126=""),"n/a",IF(AND(B126&gt;=$B$3,C126&gt;=$C$3,D126&gt;=$D$3),"Yes","No"))</f>
        <v/>
      </c>
      <c r="H126" s="29" t="n"/>
    </row>
    <row r="127">
      <c r="A127" s="12" t="inlineStr">
        <is>
          <t>Kazakhstan</t>
        </is>
      </c>
      <c r="B127" s="13" t="n">
        <v>2.91</v>
      </c>
      <c r="C127" s="14" t="n">
        <v>38</v>
      </c>
      <c r="D127" s="15" t="n">
        <v>0.513</v>
      </c>
      <c r="E127" s="16">
        <f>IF(OR(B127="",C127="",D127=""),"Insufficient data",IF(AND(B127&gt;=$B$4,C127&gt;=$C$4,D127&gt;=$D$4),"Meets standard",IF(AND(B127&gt;=$B$3,C127&gt;=$C$3,D127&gt;=$D$3),"Above minimum","Below minimum")))</f>
        <v/>
      </c>
      <c r="F127" s="16" t="n">
        <v>3</v>
      </c>
      <c r="G127" s="28">
        <f>IF(OR(B127="",C127="",D127=""),"n/a",IF(AND(B127&gt;=$B$3,C127&gt;=$C$3,D127&gt;=$D$3),"Yes","No"))</f>
        <v/>
      </c>
      <c r="H127" s="29" t="n"/>
    </row>
    <row r="128">
      <c r="A128" s="12" t="inlineStr">
        <is>
          <t>Togo</t>
        </is>
      </c>
      <c r="B128" s="13" t="n">
        <v>2.88</v>
      </c>
      <c r="C128" s="14" t="n">
        <v>32</v>
      </c>
      <c r="D128" s="15" t="n">
        <v>0.6</v>
      </c>
      <c r="E128" s="16">
        <f>IF(OR(B128="",C128="",D128=""),"Insufficient data",IF(AND(B128&gt;=$B$4,C128&gt;=$C$4,D128&gt;=$D$4),"Meets standard",IF(AND(B128&gt;=$B$3,C128&gt;=$C$3,D128&gt;=$D$3),"Above minimum","Below minimum")))</f>
        <v/>
      </c>
      <c r="F128" s="16" t="n">
        <v>3</v>
      </c>
      <c r="G128" s="28">
        <f>IF(OR(B128="",C128="",D128=""),"n/a",IF(AND(B128&gt;=$B$3,C128&gt;=$C$3,D128&gt;=$D$3),"Yes","No"))</f>
        <v/>
      </c>
      <c r="H128" s="29" t="n"/>
    </row>
    <row r="129">
      <c r="A129" s="12" t="inlineStr">
        <is>
          <t>Comoros</t>
        </is>
      </c>
      <c r="B129" s="13" t="n">
        <v>2.81</v>
      </c>
      <c r="C129" s="14" t="n">
        <v>20</v>
      </c>
      <c r="D129" s="15" t="n">
        <v>0.476</v>
      </c>
      <c r="E129" s="16">
        <f>IF(OR(B129="",C129="",D129=""),"Insufficient data",IF(AND(B129&gt;=$B$4,C129&gt;=$C$4,D129&gt;=$D$4),"Meets standard",IF(AND(B129&gt;=$B$3,C129&gt;=$C$3,D129&gt;=$D$3),"Above minimum","Below minimum")))</f>
        <v/>
      </c>
      <c r="F129" s="16" t="n">
        <v>3</v>
      </c>
      <c r="G129" s="28">
        <f>IF(OR(B129="",C129="",D129=""),"n/a",IF(AND(B129&gt;=$B$3,C129&gt;=$C$3,D129&gt;=$D$3),"Yes","No"))</f>
        <v/>
      </c>
      <c r="H129" s="29" t="n"/>
    </row>
    <row r="130">
      <c r="A130" s="12" t="inlineStr">
        <is>
          <t>Haiti</t>
        </is>
      </c>
      <c r="B130" s="13" t="n">
        <v>2.81</v>
      </c>
      <c r="C130" s="14" t="n">
        <v>16</v>
      </c>
      <c r="D130" s="15" t="n">
        <v>0.743</v>
      </c>
      <c r="E130" s="16">
        <f>IF(OR(B130="",C130="",D130=""),"Insufficient data",IF(AND(B130&gt;=$B$4,C130&gt;=$C$4,D130&gt;=$D$4),"Meets standard",IF(AND(B130&gt;=$B$3,C130&gt;=$C$3,D130&gt;=$D$3),"Above minimum","Below minimum")))</f>
        <v/>
      </c>
      <c r="F130" s="16" t="n">
        <v>3</v>
      </c>
      <c r="G130" s="28">
        <f>IF(OR(B130="",C130="",D130=""),"n/a",IF(AND(B130&gt;=$B$3,C130&gt;=$C$3,D130&gt;=$D$3),"Yes","No"))</f>
        <v/>
      </c>
      <c r="H130" s="29" t="n"/>
    </row>
    <row r="131">
      <c r="A131" s="12" t="inlineStr">
        <is>
          <t>Azerbaijan</t>
        </is>
      </c>
      <c r="B131" s="13" t="n">
        <v>2.8</v>
      </c>
      <c r="C131" s="14" t="n">
        <v>30</v>
      </c>
      <c r="D131" s="15" t="n">
        <v>0.291</v>
      </c>
      <c r="E131" s="16">
        <f>IF(OR(B131="",C131="",D131=""),"Insufficient data",IF(AND(B131&gt;=$B$4,C131&gt;=$C$4,D131&gt;=$D$4),"Meets standard",IF(AND(B131&gt;=$B$3,C131&gt;=$C$3,D131&gt;=$D$3),"Above minimum","Below minimum")))</f>
        <v/>
      </c>
      <c r="F131" s="16" t="n">
        <v>3</v>
      </c>
      <c r="G131" s="28">
        <f>IF(OR(B131="",C131="",D131=""),"n/a",IF(AND(B131&gt;=$B$3,C131&gt;=$C$3,D131&gt;=$D$3),"Yes","No"))</f>
        <v/>
      </c>
      <c r="H131" s="29" t="n"/>
    </row>
    <row r="132">
      <c r="A132" s="12" t="inlineStr">
        <is>
          <t>Egypt</t>
        </is>
      </c>
      <c r="B132" s="13" t="n">
        <v>2.79</v>
      </c>
      <c r="C132" s="14" t="n">
        <v>30</v>
      </c>
      <c r="D132" s="15" t="n">
        <v>0.232</v>
      </c>
      <c r="E132" s="16">
        <f>IF(OR(B132="",C132="",D132=""),"Insufficient data",IF(AND(B132&gt;=$B$4,C132&gt;=$C$4,D132&gt;=$D$4),"Meets standard",IF(AND(B132&gt;=$B$3,C132&gt;=$C$3,D132&gt;=$D$3),"Above minimum","Below minimum")))</f>
        <v/>
      </c>
      <c r="F132" s="16" t="n">
        <v>3</v>
      </c>
      <c r="G132" s="28">
        <f>IF(OR(B132="",C132="",D132=""),"n/a",IF(AND(B132&gt;=$B$3,C132&gt;=$C$3,D132&gt;=$D$3),"Yes","No"))</f>
        <v/>
      </c>
      <c r="H132" s="29" t="n"/>
    </row>
    <row r="133">
      <c r="A133" s="12" t="inlineStr">
        <is>
          <t>Republic of the Congo</t>
        </is>
      </c>
      <c r="B133" s="13" t="n">
        <v>2.79</v>
      </c>
      <c r="C133" s="14" t="n">
        <v>23</v>
      </c>
      <c r="D133" s="15" t="n">
        <v>0.326</v>
      </c>
      <c r="E133" s="16">
        <f>IF(OR(B133="",C133="",D133=""),"Insufficient data",IF(AND(B133&gt;=$B$4,C133&gt;=$C$4,D133&gt;=$D$4),"Meets standard",IF(AND(B133&gt;=$B$3,C133&gt;=$C$3,D133&gt;=$D$3),"Above minimum","Below minimum")))</f>
        <v/>
      </c>
      <c r="F133" s="16" t="n">
        <v>3</v>
      </c>
      <c r="G133" s="28">
        <f>IF(OR(B133="",C133="",D133=""),"n/a",IF(AND(B133&gt;=$B$3,C133&gt;=$C$3,D133&gt;=$D$3),"Yes","No"))</f>
        <v/>
      </c>
      <c r="H133" s="29" t="n"/>
    </row>
    <row r="134">
      <c r="A134" s="12" t="inlineStr">
        <is>
          <t>Kuwait</t>
        </is>
      </c>
      <c r="B134" s="13" t="n">
        <v>2.78</v>
      </c>
      <c r="C134" s="14" t="n">
        <v>46</v>
      </c>
      <c r="D134" s="15" t="n">
        <v>0.488</v>
      </c>
      <c r="E134" s="16">
        <f>IF(OR(B134="",C134="",D134=""),"Insufficient data",IF(AND(B134&gt;=$B$4,C134&gt;=$C$4,D134&gt;=$D$4),"Meets standard",IF(AND(B134&gt;=$B$3,C134&gt;=$C$3,D134&gt;=$D$3),"Above minimum","Below minimum")))</f>
        <v/>
      </c>
      <c r="F134" s="16" t="n">
        <v>3</v>
      </c>
      <c r="G134" s="28">
        <f>IF(OR(B134="",C134="",D134=""),"n/a",IF(AND(B134&gt;=$B$3,C134&gt;=$C$3,D134&gt;=$D$3),"Yes","No"))</f>
        <v/>
      </c>
      <c r="H134" s="29" t="n"/>
    </row>
    <row r="135">
      <c r="A135" s="12" t="inlineStr">
        <is>
          <t>Djibouti</t>
        </is>
      </c>
      <c r="B135" s="13" t="n">
        <v>2.7</v>
      </c>
      <c r="C135" s="14" t="n">
        <v>31</v>
      </c>
      <c r="D135" s="15" t="n">
        <v>0.404</v>
      </c>
      <c r="E135" s="16">
        <f>IF(OR(B135="",C135="",D135=""),"Insufficient data",IF(AND(B135&gt;=$B$4,C135&gt;=$C$4,D135&gt;=$D$4),"Meets standard",IF(AND(B135&gt;=$B$3,C135&gt;=$C$3,D135&gt;=$D$3),"Above minimum","Below minimum")))</f>
        <v/>
      </c>
      <c r="F135" s="16" t="n">
        <v>3</v>
      </c>
      <c r="G135" s="28">
        <f>IF(OR(B135="",C135="",D135=""),"n/a",IF(AND(B135&gt;=$B$3,C135&gt;=$C$3,D135&gt;=$D$3),"Yes","No"))</f>
        <v/>
      </c>
      <c r="H135" s="29" t="n"/>
    </row>
    <row r="136">
      <c r="A136" s="12" t="inlineStr">
        <is>
          <t>Cambodia</t>
        </is>
      </c>
      <c r="B136" s="13" t="n">
        <v>2.7</v>
      </c>
      <c r="C136" s="14" t="n">
        <v>20</v>
      </c>
      <c r="D136" s="15" t="n">
        <v>0.26</v>
      </c>
      <c r="E136" s="16">
        <f>IF(OR(B136="",C136="",D136=""),"Insufficient data",IF(AND(B136&gt;=$B$4,C136&gt;=$C$4,D136&gt;=$D$4),"Meets standard",IF(AND(B136&gt;=$B$3,C136&gt;=$C$3,D136&gt;=$D$3),"Above minimum","Below minimum")))</f>
        <v/>
      </c>
      <c r="F136" s="16" t="n">
        <v>3</v>
      </c>
      <c r="G136" s="28">
        <f>IF(OR(B136="",C136="",D136=""),"n/a",IF(AND(B136&gt;=$B$3,C136&gt;=$C$3,D136&gt;=$D$3),"Yes","No"))</f>
        <v/>
      </c>
      <c r="H136" s="29" t="n"/>
    </row>
    <row r="137">
      <c r="A137" s="12" t="inlineStr">
        <is>
          <t>Vietnam</t>
        </is>
      </c>
      <c r="B137" s="13" t="n">
        <v>2.62</v>
      </c>
      <c r="C137" s="14" t="n">
        <v>41</v>
      </c>
      <c r="D137" s="15" t="n">
        <v>0.384</v>
      </c>
      <c r="E137" s="16">
        <f>IF(OR(B137="",C137="",D137=""),"Insufficient data",IF(AND(B137&gt;=$B$4,C137&gt;=$C$4,D137&gt;=$D$4),"Meets standard",IF(AND(B137&gt;=$B$3,C137&gt;=$C$3,D137&gt;=$D$3),"Above minimum","Below minimum")))</f>
        <v/>
      </c>
      <c r="F137" s="16" t="n">
        <v>3</v>
      </c>
      <c r="G137" s="28">
        <f>IF(OR(B137="",C137="",D137=""),"n/a",IF(AND(B137&gt;=$B$3,C137&gt;=$C$3,D137&gt;=$D$3),"Yes","No"))</f>
        <v/>
      </c>
      <c r="H137" s="29" t="n"/>
    </row>
    <row r="138">
      <c r="A138" s="12" t="inlineStr">
        <is>
          <t>Eswatini</t>
        </is>
      </c>
      <c r="B138" s="13" t="n">
        <v>2.6</v>
      </c>
      <c r="C138" s="14" t="n">
        <v>23</v>
      </c>
      <c r="D138" s="15" t="n">
        <v>0.206</v>
      </c>
      <c r="E138" s="16">
        <f>IF(OR(B138="",C138="",D138=""),"Insufficient data",IF(AND(B138&gt;=$B$4,C138&gt;=$C$4,D138&gt;=$D$4),"Meets standard",IF(AND(B138&gt;=$B$3,C138&gt;=$C$3,D138&gt;=$D$3),"Above minimum","Below minimum")))</f>
        <v/>
      </c>
      <c r="F138" s="16" t="n">
        <v>3</v>
      </c>
      <c r="G138" s="28">
        <f>IF(OR(B138="",C138="",D138=""),"n/a",IF(AND(B138&gt;=$B$3,C138&gt;=$C$3,D138&gt;=$D$3),"Yes","No"))</f>
        <v/>
      </c>
      <c r="H138" s="29" t="n"/>
    </row>
    <row r="139">
      <c r="A139" s="12" t="inlineStr">
        <is>
          <t>Cuba</t>
        </is>
      </c>
      <c r="B139" s="13" t="n">
        <v>2.58</v>
      </c>
      <c r="C139" s="14" t="n">
        <v>40</v>
      </c>
      <c r="D139" s="15" t="n">
        <v>0.302</v>
      </c>
      <c r="E139" s="16">
        <f>IF(OR(B139="",C139="",D139=""),"Insufficient data",IF(AND(B139&gt;=$B$4,C139&gt;=$C$4,D139&gt;=$D$4),"Meets standard",IF(AND(B139&gt;=$B$3,C139&gt;=$C$3,D139&gt;=$D$3),"Above minimum","Below minimum")))</f>
        <v/>
      </c>
      <c r="F139" s="16" t="n">
        <v>3</v>
      </c>
      <c r="G139" s="28">
        <f>IF(OR(B139="",C139="",D139=""),"n/a",IF(AND(B139&gt;=$B$3,C139&gt;=$C$3,D139&gt;=$D$3),"Yes","No"))</f>
        <v/>
      </c>
      <c r="H139" s="29" t="n"/>
    </row>
    <row r="140">
      <c r="A140" s="12" t="inlineStr">
        <is>
          <t>Cameroon</t>
        </is>
      </c>
      <c r="B140" s="13" t="n">
        <v>2.56</v>
      </c>
      <c r="C140" s="14" t="n">
        <v>26</v>
      </c>
      <c r="D140" s="15" t="n">
        <v>0.509</v>
      </c>
      <c r="E140" s="16">
        <f>IF(OR(B140="",C140="",D140=""),"Insufficient data",IF(AND(B140&gt;=$B$4,C140&gt;=$C$4,D140&gt;=$D$4),"Meets standard",IF(AND(B140&gt;=$B$3,C140&gt;=$C$3,D140&gt;=$D$3),"Above minimum","Below minimum")))</f>
        <v/>
      </c>
      <c r="F140" s="16" t="n">
        <v>3</v>
      </c>
      <c r="G140" s="28">
        <f>IF(OR(B140="",C140="",D140=""),"n/a",IF(AND(B140&gt;=$B$3,C140&gt;=$C$3,D140&gt;=$D$3),"Yes","No"))</f>
        <v/>
      </c>
      <c r="H140" s="29" t="n"/>
    </row>
    <row r="141">
      <c r="A141" s="12" t="inlineStr">
        <is>
          <t>Burkina Faso</t>
        </is>
      </c>
      <c r="B141" s="13" t="n">
        <v>2.55</v>
      </c>
      <c r="C141" s="14" t="n">
        <v>40</v>
      </c>
      <c r="D141" s="15" t="n">
        <v>0.455</v>
      </c>
      <c r="E141" s="16">
        <f>IF(OR(B141="",C141="",D141=""),"Insufficient data",IF(AND(B141&gt;=$B$4,C141&gt;=$C$4,D141&gt;=$D$4),"Meets standard",IF(AND(B141&gt;=$B$3,C141&gt;=$C$3,D141&gt;=$D$3),"Above minimum","Below minimum")))</f>
        <v/>
      </c>
      <c r="F141" s="16" t="n">
        <v>3</v>
      </c>
      <c r="G141" s="28">
        <f>IF(OR(B141="",C141="",D141=""),"n/a",IF(AND(B141&gt;=$B$3,C141&gt;=$C$3,D141&gt;=$D$3),"Yes","No"))</f>
        <v/>
      </c>
      <c r="H141" s="29" t="n"/>
    </row>
    <row r="142">
      <c r="A142" s="12" t="inlineStr">
        <is>
          <t>Bahrain</t>
        </is>
      </c>
      <c r="B142" s="13" t="n">
        <v>2.45</v>
      </c>
      <c r="C142" s="14" t="n">
        <v>50</v>
      </c>
      <c r="D142" s="15" t="n">
        <v>0.3</v>
      </c>
      <c r="E142" s="16">
        <f>IF(OR(B142="",C142="",D142=""),"Insufficient data",IF(AND(B142&gt;=$B$4,C142&gt;=$C$4,D142&gt;=$D$4),"Meets standard",IF(AND(B142&gt;=$B$3,C142&gt;=$C$3,D142&gt;=$D$3),"Above minimum","Below minimum")))</f>
        <v/>
      </c>
      <c r="F142" s="16" t="n">
        <v>3</v>
      </c>
      <c r="G142" s="28">
        <f>IF(OR(B142="",C142="",D142=""),"n/a",IF(AND(B142&gt;=$B$3,C142&gt;=$C$3,D142&gt;=$D$3),"Yes","No"))</f>
        <v/>
      </c>
      <c r="H142" s="29" t="n"/>
    </row>
    <row r="143">
      <c r="A143" s="12" t="inlineStr">
        <is>
          <t>Pakistan</t>
        </is>
      </c>
      <c r="B143" s="13" t="n">
        <v>2.44</v>
      </c>
      <c r="C143" s="14" t="n">
        <v>28</v>
      </c>
      <c r="D143" s="15" t="n">
        <v>0.466</v>
      </c>
      <c r="E143" s="16">
        <f>IF(OR(B143="",C143="",D143=""),"Insufficient data",IF(AND(B143&gt;=$B$4,C143&gt;=$C$4,D143&gt;=$D$4),"Meets standard",IF(AND(B143&gt;=$B$3,C143&gt;=$C$3,D143&gt;=$D$3),"Above minimum","Below minimum")))</f>
        <v/>
      </c>
      <c r="F143" s="16" t="n">
        <v>3</v>
      </c>
      <c r="G143" s="28">
        <f>IF(OR(B143="",C143="",D143=""),"n/a",IF(AND(B143&gt;=$B$3,C143&gt;=$C$3,D143&gt;=$D$3),"Yes","No"))</f>
        <v/>
      </c>
      <c r="H143" s="29" t="n"/>
    </row>
    <row r="144">
      <c r="A144" s="12" t="inlineStr">
        <is>
          <t>Mali</t>
        </is>
      </c>
      <c r="B144" s="13" t="n">
        <v>2.4</v>
      </c>
      <c r="C144" s="14" t="n">
        <v>28</v>
      </c>
      <c r="D144" s="15" t="n">
        <v>0.609</v>
      </c>
      <c r="E144" s="16">
        <f>IF(OR(B144="",C144="",D144=""),"Insufficient data",IF(AND(B144&gt;=$B$4,C144&gt;=$C$4,D144&gt;=$D$4),"Meets standard",IF(AND(B144&gt;=$B$3,C144&gt;=$C$3,D144&gt;=$D$3),"Above minimum","Below minimum")))</f>
        <v/>
      </c>
      <c r="F144" s="16" t="n">
        <v>3</v>
      </c>
      <c r="G144" s="28">
        <f>IF(OR(B144="",C144="",D144=""),"n/a",IF(AND(B144&gt;=$B$3,C144&gt;=$C$3,D144&gt;=$D$3),"Yes","No"))</f>
        <v/>
      </c>
      <c r="H144" s="29" t="n"/>
    </row>
    <row r="145">
      <c r="A145" s="12" t="inlineStr">
        <is>
          <t>Libya</t>
        </is>
      </c>
      <c r="B145" s="13" t="n">
        <v>2.31</v>
      </c>
      <c r="C145" s="14" t="n">
        <v>13</v>
      </c>
      <c r="D145" s="15" t="n">
        <v>0.323</v>
      </c>
      <c r="E145" s="16">
        <f>IF(OR(B145="",C145="",D145=""),"Insufficient data",IF(AND(B145&gt;=$B$4,C145&gt;=$C$4,D145&gt;=$D$4),"Meets standard",IF(AND(B145&gt;=$B$3,C145&gt;=$C$3,D145&gt;=$D$3),"Above minimum","Below minimum")))</f>
        <v/>
      </c>
      <c r="F145" s="16" t="n">
        <v>3</v>
      </c>
      <c r="G145" s="28">
        <f>IF(OR(B145="",C145="",D145=""),"n/a",IF(AND(B145&gt;=$B$3,C145&gt;=$C$3,D145&gt;=$D$3),"Yes","No"))</f>
        <v/>
      </c>
      <c r="H145" s="29" t="n"/>
    </row>
    <row r="146">
      <c r="A146" s="12" t="inlineStr">
        <is>
          <t>China</t>
        </is>
      </c>
      <c r="B146" s="13" t="n">
        <v>2.24</v>
      </c>
      <c r="C146" s="14" t="n">
        <v>43</v>
      </c>
      <c r="D146" s="15" t="n">
        <v>0.179</v>
      </c>
      <c r="E146" s="16">
        <f>IF(OR(B146="",C146="",D146=""),"Insufficient data",IF(AND(B146&gt;=$B$4,C146&gt;=$C$4,D146&gt;=$D$4),"Meets standard",IF(AND(B146&gt;=$B$3,C146&gt;=$C$3,D146&gt;=$D$3),"Above minimum","Below minimum")))</f>
        <v/>
      </c>
      <c r="F146" s="16" t="n">
        <v>3</v>
      </c>
      <c r="G146" s="28">
        <f>IF(OR(B146="",C146="",D146=""),"n/a",IF(AND(B146&gt;=$B$3,C146&gt;=$C$3,D146&gt;=$D$3),"Yes","No"))</f>
        <v/>
      </c>
      <c r="H146" s="29" t="n"/>
    </row>
    <row r="147">
      <c r="A147" s="12" t="inlineStr">
        <is>
          <t>Guinea</t>
        </is>
      </c>
      <c r="B147" s="13" t="n">
        <v>2.15</v>
      </c>
      <c r="C147" s="14" t="n">
        <v>26</v>
      </c>
      <c r="D147" s="15" t="n">
        <v>0.353</v>
      </c>
      <c r="E147" s="16">
        <f>IF(OR(B147="",C147="",D147=""),"Insufficient data",IF(AND(B147&gt;=$B$4,C147&gt;=$C$4,D147&gt;=$D$4),"Meets standard",IF(AND(B147&gt;=$B$3,C147&gt;=$C$3,D147&gt;=$D$3),"Above minimum","Below minimum")))</f>
        <v/>
      </c>
      <c r="F147" s="16" t="n">
        <v>3</v>
      </c>
      <c r="G147" s="28">
        <f>IF(OR(B147="",C147="",D147=""),"n/a",IF(AND(B147&gt;=$B$3,C147&gt;=$C$3,D147&gt;=$D$3),"Yes","No"))</f>
        <v/>
      </c>
      <c r="H147" s="29" t="n"/>
    </row>
    <row r="148">
      <c r="A148" s="12" t="inlineStr">
        <is>
          <t>Burundi</t>
        </is>
      </c>
      <c r="B148" s="13" t="n">
        <v>2.13</v>
      </c>
      <c r="C148" s="14" t="n">
        <v>17</v>
      </c>
      <c r="D148" s="15" t="n">
        <v>0.271</v>
      </c>
      <c r="E148" s="16">
        <f>IF(OR(B148="",C148="",D148=""),"Insufficient data",IF(AND(B148&gt;=$B$4,C148&gt;=$C$4,D148&gt;=$D$4),"Meets standard",IF(AND(B148&gt;=$B$3,C148&gt;=$C$3,D148&gt;=$D$3),"Above minimum","Below minimum")))</f>
        <v/>
      </c>
      <c r="F148" s="16" t="n">
        <v>3</v>
      </c>
      <c r="G148" s="28">
        <f>IF(OR(B148="",C148="",D148=""),"n/a",IF(AND(B148&gt;=$B$3,C148&gt;=$C$3,D148&gt;=$D$3),"Yes","No"))</f>
        <v/>
      </c>
      <c r="H148" s="29" t="n"/>
    </row>
    <row r="149">
      <c r="A149" s="12" t="inlineStr">
        <is>
          <t>Venezuela</t>
        </is>
      </c>
      <c r="B149" s="13" t="n">
        <v>2.13</v>
      </c>
      <c r="C149" s="14" t="n">
        <v>10</v>
      </c>
      <c r="D149" s="15" t="n">
        <v>0.307</v>
      </c>
      <c r="E149" s="16">
        <f>IF(OR(B149="",C149="",D149=""),"Insufficient data",IF(AND(B149&gt;=$B$4,C149&gt;=$C$4,D149&gt;=$D$4),"Meets standard",IF(AND(B149&gt;=$B$3,C149&gt;=$C$3,D149&gt;=$D$3),"Above minimum","Below minimum")))</f>
        <v/>
      </c>
      <c r="F149" s="16" t="n">
        <v>3</v>
      </c>
      <c r="G149" s="28">
        <f>IF(OR(B149="",C149="",D149=""),"n/a",IF(AND(B149&gt;=$B$3,C149&gt;=$C$3,D149&gt;=$D$3),"Yes","No"))</f>
        <v/>
      </c>
      <c r="H149" s="29" t="n"/>
    </row>
    <row r="150">
      <c r="A150" s="12" t="inlineStr">
        <is>
          <t>Uzbekistan</t>
        </is>
      </c>
      <c r="B150" s="13" t="n">
        <v>2.1</v>
      </c>
      <c r="C150" s="14" t="n">
        <v>31</v>
      </c>
      <c r="D150" s="15" t="n">
        <v>0.369</v>
      </c>
      <c r="E150" s="16">
        <f>IF(OR(B150="",C150="",D150=""),"Insufficient data",IF(AND(B150&gt;=$B$4,C150&gt;=$C$4,D150&gt;=$D$4),"Meets standard",IF(AND(B150&gt;=$B$3,C150&gt;=$C$3,D150&gt;=$D$3),"Above minimum","Below minimum")))</f>
        <v/>
      </c>
      <c r="F150" s="16" t="n">
        <v>3</v>
      </c>
      <c r="G150" s="28">
        <f>IF(OR(B150="",C150="",D150=""),"n/a",IF(AND(B150&gt;=$B$3,C150&gt;=$C$3,D150&gt;=$D$3),"Yes","No"))</f>
        <v/>
      </c>
      <c r="H150" s="29" t="n"/>
    </row>
    <row r="151">
      <c r="A151" s="12" t="inlineStr">
        <is>
          <t>Saudi Arabia</t>
        </is>
      </c>
      <c r="B151" s="13" t="n">
        <v>2.08</v>
      </c>
      <c r="C151" s="14" t="n">
        <v>57</v>
      </c>
      <c r="D151" s="15" t="n">
        <v>0.178</v>
      </c>
      <c r="E151" s="16">
        <f>IF(OR(B151="",C151="",D151=""),"Insufficient data",IF(AND(B151&gt;=$B$4,C151&gt;=$C$4,D151&gt;=$D$4),"Meets standard",IF(AND(B151&gt;=$B$3,C151&gt;=$C$3,D151&gt;=$D$3),"Above minimum","Below minimum")))</f>
        <v/>
      </c>
      <c r="F151" s="16" t="n">
        <v>3</v>
      </c>
      <c r="G151" s="28">
        <f>IF(OR(B151="",C151="",D151=""),"n/a",IF(AND(B151&gt;=$B$3,C151&gt;=$C$3,D151&gt;=$D$3),"Yes","No"))</f>
        <v/>
      </c>
      <c r="H151" s="29" t="n"/>
    </row>
    <row r="152">
      <c r="A152" s="12" t="inlineStr">
        <is>
          <t>Russia</t>
        </is>
      </c>
      <c r="B152" s="13" t="n">
        <v>2.03</v>
      </c>
      <c r="C152" s="14" t="n">
        <v>22</v>
      </c>
      <c r="D152" s="15" t="n">
        <v>0.265</v>
      </c>
      <c r="E152" s="16">
        <f>IF(OR(B152="",C152="",D152=""),"Insufficient data",IF(AND(B152&gt;=$B$4,C152&gt;=$C$4,D152&gt;=$D$4),"Meets standard",IF(AND(B152&gt;=$B$3,C152&gt;=$C$3,D152&gt;=$D$3),"Above minimum","Below minimum")))</f>
        <v/>
      </c>
      <c r="F152" s="16" t="n">
        <v>3</v>
      </c>
      <c r="G152" s="28">
        <f>IF(OR(B152="",C152="",D152=""),"n/a",IF(AND(B152&gt;=$B$3,C152&gt;=$C$3,D152&gt;=$D$3),"Yes","No"))</f>
        <v/>
      </c>
      <c r="H152" s="29" t="n"/>
    </row>
    <row r="153">
      <c r="A153" s="12" t="inlineStr">
        <is>
          <t>Belarus</t>
        </is>
      </c>
      <c r="B153" s="13" t="n">
        <v>1.99</v>
      </c>
      <c r="C153" s="14" t="n">
        <v>31</v>
      </c>
      <c r="D153" s="15" t="n">
        <v>0.221</v>
      </c>
      <c r="E153" s="16">
        <f>IF(OR(B153="",C153="",D153=""),"Insufficient data",IF(AND(B153&gt;=$B$4,C153&gt;=$C$4,D153&gt;=$D$4),"Meets standard",IF(AND(B153&gt;=$B$3,C153&gt;=$C$3,D153&gt;=$D$3),"Above minimum","Below minimum")))</f>
        <v/>
      </c>
      <c r="F153" s="16" t="n">
        <v>3</v>
      </c>
      <c r="G153" s="28">
        <f>IF(OR(B153="",C153="",D153=""),"n/a",IF(AND(B153&gt;=$B$3,C153&gt;=$C$3,D153&gt;=$D$3),"Yes","No"))</f>
        <v/>
      </c>
      <c r="H153" s="29" t="n"/>
    </row>
    <row r="154">
      <c r="A154" s="12" t="inlineStr">
        <is>
          <t>Nicaragua</t>
        </is>
      </c>
      <c r="B154" s="13" t="n">
        <v>1.97</v>
      </c>
      <c r="C154" s="14" t="n">
        <v>14</v>
      </c>
      <c r="D154" s="15" t="n">
        <v>0.077</v>
      </c>
      <c r="E154" s="16">
        <f>IF(OR(B154="",C154="",D154=""),"Insufficient data",IF(AND(B154&gt;=$B$4,C154&gt;=$C$4,D154&gt;=$D$4),"Meets standard",IF(AND(B154&gt;=$B$3,C154&gt;=$C$3,D154&gt;=$D$3),"Above minimum","Below minimum")))</f>
        <v/>
      </c>
      <c r="F154" s="16" t="n">
        <v>3</v>
      </c>
      <c r="G154" s="28">
        <f>IF(OR(B154="",C154="",D154=""),"n/a",IF(AND(B154&gt;=$B$3,C154&gt;=$C$3,D154&gt;=$D$3),"Yes","No"))</f>
        <v/>
      </c>
      <c r="H154" s="29" t="n"/>
    </row>
    <row r="155">
      <c r="A155" s="12" t="inlineStr">
        <is>
          <t>Eritrea</t>
        </is>
      </c>
      <c r="B155" s="13" t="n">
        <v>1.97</v>
      </c>
      <c r="C155" s="14" t="n">
        <v>13</v>
      </c>
      <c r="D155" s="15" t="n">
        <v>0.047</v>
      </c>
      <c r="E155" s="16">
        <f>IF(OR(B155="",C155="",D155=""),"Insufficient data",IF(AND(B155&gt;=$B$4,C155&gt;=$C$4,D155&gt;=$D$4),"Meets standard",IF(AND(B155&gt;=$B$3,C155&gt;=$C$3,D155&gt;=$D$3),"Above minimum","Below minimum")))</f>
        <v/>
      </c>
      <c r="F155" s="16" t="n">
        <v>3</v>
      </c>
      <c r="G155" s="28">
        <f>IF(OR(B155="",C155="",D155=""),"n/a",IF(AND(B155&gt;=$B$3,C155&gt;=$C$3,D155&gt;=$D$3),"Yes","No"))</f>
        <v/>
      </c>
      <c r="H155" s="29" t="n"/>
    </row>
    <row r="156">
      <c r="A156" s="12" t="inlineStr">
        <is>
          <t>Iran</t>
        </is>
      </c>
      <c r="B156" s="13" t="n">
        <v>1.96</v>
      </c>
      <c r="C156" s="14" t="n">
        <v>23</v>
      </c>
      <c r="D156" s="15" t="n">
        <v>0.248</v>
      </c>
      <c r="E156" s="16">
        <f>IF(OR(B156="",C156="",D156=""),"Insufficient data",IF(AND(B156&gt;=$B$4,C156&gt;=$C$4,D156&gt;=$D$4),"Meets standard",IF(AND(B156&gt;=$B$3,C156&gt;=$C$3,D156&gt;=$D$3),"Above minimum","Below minimum")))</f>
        <v/>
      </c>
      <c r="F156" s="16" t="n">
        <v>3</v>
      </c>
      <c r="G156" s="28">
        <f>IF(OR(B156="",C156="",D156=""),"n/a",IF(AND(B156&gt;=$B$3,C156&gt;=$C$3,D156&gt;=$D$3),"Yes","No"))</f>
        <v/>
      </c>
      <c r="H156" s="29" t="n"/>
    </row>
    <row r="157">
      <c r="A157" s="12" t="inlineStr">
        <is>
          <t>Niger</t>
        </is>
      </c>
      <c r="B157" s="13" t="n">
        <v>1.95</v>
      </c>
      <c r="C157" s="14" t="n">
        <v>31</v>
      </c>
      <c r="D157" s="15" t="n">
        <v>0.65</v>
      </c>
      <c r="E157" s="16">
        <f>IF(OR(B157="",C157="",D157=""),"Insufficient data",IF(AND(B157&gt;=$B$4,C157&gt;=$C$4,D157&gt;=$D$4),"Meets standard",IF(AND(B157&gt;=$B$3,C157&gt;=$C$3,D157&gt;=$D$3),"Above minimum","Below minimum")))</f>
        <v/>
      </c>
      <c r="F157" s="16" t="n">
        <v>3</v>
      </c>
      <c r="G157" s="28">
        <f>IF(OR(B157="",C157="",D157=""),"n/a",IF(AND(B157&gt;=$B$3,C157&gt;=$C$3,D157&gt;=$D$3),"Yes","No"))</f>
        <v/>
      </c>
      <c r="H157" s="29" t="n"/>
    </row>
    <row r="158">
      <c r="A158" s="12" t="inlineStr">
        <is>
          <t>Yemen</t>
        </is>
      </c>
      <c r="B158" s="13" t="n">
        <v>1.95</v>
      </c>
      <c r="C158" s="14" t="n">
        <v>13</v>
      </c>
      <c r="D158" s="15" t="n">
        <v>0.192</v>
      </c>
      <c r="E158" s="16">
        <f>IF(OR(B158="",C158="",D158=""),"Insufficient data",IF(AND(B158&gt;=$B$4,C158&gt;=$C$4,D158&gt;=$D$4),"Meets standard",IF(AND(B158&gt;=$B$3,C158&gt;=$C$3,D158&gt;=$D$3),"Above minimum","Below minimum")))</f>
        <v/>
      </c>
      <c r="F158" s="16" t="n">
        <v>3</v>
      </c>
      <c r="G158" s="28">
        <f>IF(OR(B158="",C158="",D158=""),"n/a",IF(AND(B158&gt;=$B$3,C158&gt;=$C$3,D158&gt;=$D$3),"Yes","No"))</f>
        <v/>
      </c>
      <c r="H158" s="29" t="n"/>
    </row>
    <row r="159">
      <c r="A159" s="12" t="inlineStr">
        <is>
          <t>Tajikistan</t>
        </is>
      </c>
      <c r="B159" s="13" t="n">
        <v>1.94</v>
      </c>
      <c r="C159" s="14" t="n">
        <v>19</v>
      </c>
      <c r="D159" s="15" t="n">
        <v>0.169</v>
      </c>
      <c r="E159" s="16">
        <f>IF(OR(B159="",C159="",D159=""),"Insufficient data",IF(AND(B159&gt;=$B$4,C159&gt;=$C$4,D159&gt;=$D$4),"Meets standard",IF(AND(B159&gt;=$B$3,C159&gt;=$C$3,D159&gt;=$D$3),"Above minimum","Below minimum")))</f>
        <v/>
      </c>
      <c r="F159" s="16" t="n">
        <v>3</v>
      </c>
      <c r="G159" s="28">
        <f>IF(OR(B159="",C159="",D159=""),"n/a",IF(AND(B159&gt;=$B$3,C159&gt;=$C$3,D159&gt;=$D$3),"Yes","No"))</f>
        <v/>
      </c>
      <c r="H159" s="29" t="n"/>
    </row>
    <row r="160">
      <c r="A160" s="12" t="inlineStr">
        <is>
          <t>Democratic Republic of the Congo</t>
        </is>
      </c>
      <c r="B160" s="13" t="n">
        <v>1.92</v>
      </c>
      <c r="C160" s="14" t="n">
        <v>20</v>
      </c>
      <c r="D160" s="15" t="n">
        <v>0.42</v>
      </c>
      <c r="E160" s="16">
        <f>IF(OR(B160="",C160="",D160=""),"Insufficient data",IF(AND(B160&gt;=$B$4,C160&gt;=$C$4,D160&gt;=$D$4),"Meets standard",IF(AND(B160&gt;=$B$3,C160&gt;=$C$3,D160&gt;=$D$3),"Above minimum","Below minimum")))</f>
        <v/>
      </c>
      <c r="F160" s="16" t="n">
        <v>3</v>
      </c>
      <c r="G160" s="28">
        <f>IF(OR(B160="",C160="",D160=""),"n/a",IF(AND(B160&gt;=$B$3,C160&gt;=$C$3,D160&gt;=$D$3),"Yes","No"))</f>
        <v/>
      </c>
      <c r="H160" s="29" t="n"/>
    </row>
    <row r="161">
      <c r="A161" s="12" t="inlineStr">
        <is>
          <t>Equatorial Guinea</t>
        </is>
      </c>
      <c r="B161" s="13" t="n">
        <v>1.92</v>
      </c>
      <c r="C161" s="14" t="n">
        <v>15</v>
      </c>
      <c r="D161" s="15" t="n">
        <v>0.169</v>
      </c>
      <c r="E161" s="16">
        <f>IF(OR(B161="",C161="",D161=""),"Insufficient data",IF(AND(B161&gt;=$B$4,C161&gt;=$C$4,D161&gt;=$D$4),"Meets standard",IF(AND(B161&gt;=$B$3,C161&gt;=$C$3,D161&gt;=$D$3),"Above minimum","Below minimum")))</f>
        <v/>
      </c>
      <c r="F161" s="16" t="n">
        <v>3</v>
      </c>
      <c r="G161" s="28">
        <f>IF(OR(B161="",C161="",D161=""),"n/a",IF(AND(B161&gt;=$B$3,C161&gt;=$C$3,D161&gt;=$D$3),"Yes","No"))</f>
        <v/>
      </c>
      <c r="H161" s="29" t="n"/>
    </row>
    <row r="162">
      <c r="A162" s="12" t="inlineStr">
        <is>
          <t>Chad</t>
        </is>
      </c>
      <c r="B162" s="13" t="n">
        <v>1.76</v>
      </c>
      <c r="C162" s="14" t="n">
        <v>22</v>
      </c>
      <c r="D162" s="15" t="n">
        <v>0.284</v>
      </c>
      <c r="E162" s="16">
        <f>IF(OR(B162="",C162="",D162=""),"Insufficient data",IF(AND(B162&gt;=$B$4,C162&gt;=$C$4,D162&gt;=$D$4),"Meets standard",IF(AND(B162&gt;=$B$3,C162&gt;=$C$3,D162&gt;=$D$3),"Above minimum","Below minimum")))</f>
        <v/>
      </c>
      <c r="F162" s="16" t="n">
        <v>3</v>
      </c>
      <c r="G162" s="28">
        <f>IF(OR(B162="",C162="",D162=""),"n/a",IF(AND(B162&gt;=$B$3,C162&gt;=$C$3,D162&gt;=$D$3),"Yes","No"))</f>
        <v/>
      </c>
      <c r="H162" s="29" t="n"/>
    </row>
    <row r="163">
      <c r="A163" s="12" t="inlineStr">
        <is>
          <t>Laos</t>
        </is>
      </c>
      <c r="B163" s="13" t="n">
        <v>1.71</v>
      </c>
      <c r="C163" s="14" t="n">
        <v>34</v>
      </c>
      <c r="D163" s="15" t="n">
        <v>0.144</v>
      </c>
      <c r="E163" s="16">
        <f>IF(OR(B163="",C163="",D163=""),"Insufficient data",IF(AND(B163&gt;=$B$4,C163&gt;=$C$4,D163&gt;=$D$4),"Meets standard",IF(AND(B163&gt;=$B$3,C163&gt;=$C$3,D163&gt;=$D$3),"Above minimum","Below minimum")))</f>
        <v/>
      </c>
      <c r="F163" s="16" t="n">
        <v>3</v>
      </c>
      <c r="G163" s="28">
        <f>IF(OR(B163="",C163="",D163=""),"n/a",IF(AND(B163&gt;=$B$3,C163&gt;=$C$3,D163&gt;=$D$3),"Yes","No"))</f>
        <v/>
      </c>
      <c r="H163" s="29" t="n"/>
    </row>
    <row r="164">
      <c r="A164" s="12" t="inlineStr">
        <is>
          <t>Turkmenistan</t>
        </is>
      </c>
      <c r="B164" s="13" t="n">
        <v>1.54</v>
      </c>
      <c r="C164" s="14" t="n">
        <v>17</v>
      </c>
      <c r="D164" s="15" t="n">
        <v>0.112</v>
      </c>
      <c r="E164" s="16">
        <f>IF(OR(B164="",C164="",D164=""),"Insufficient data",IF(AND(B164&gt;=$B$4,C164&gt;=$C$4,D164&gt;=$D$4),"Meets standard",IF(AND(B164&gt;=$B$3,C164&gt;=$C$3,D164&gt;=$D$3),"Above minimum","Below minimum")))</f>
        <v/>
      </c>
      <c r="F164" s="16" t="n">
        <v>3</v>
      </c>
      <c r="G164" s="28">
        <f>IF(OR(B164="",C164="",D164=""),"n/a",IF(AND(B164&gt;=$B$3,C164&gt;=$C$3,D164&gt;=$D$3),"Yes","No"))</f>
        <v/>
      </c>
      <c r="H164" s="29" t="n"/>
    </row>
    <row r="165">
      <c r="A165" s="12" t="inlineStr">
        <is>
          <t>Sudan</t>
        </is>
      </c>
      <c r="B165" s="13" t="n">
        <v>1.46</v>
      </c>
      <c r="C165" s="14" t="n">
        <v>14</v>
      </c>
      <c r="D165" s="15" t="n">
        <v>0.171</v>
      </c>
      <c r="E165" s="16">
        <f>IF(OR(B165="",C165="",D165=""),"Insufficient data",IF(AND(B165&gt;=$B$4,C165&gt;=$C$4,D165&gt;=$D$4),"Meets standard",IF(AND(B165&gt;=$B$3,C165&gt;=$C$3,D165&gt;=$D$3),"Above minimum","Below minimum")))</f>
        <v/>
      </c>
      <c r="F165" s="16" t="n">
        <v>3</v>
      </c>
      <c r="G165" s="28">
        <f>IF(OR(B165="",C165="",D165=""),"n/a",IF(AND(B165&gt;=$B$3,C165&gt;=$C$3,D165&gt;=$D$3),"Yes","No"))</f>
        <v/>
      </c>
      <c r="H165" s="29" t="n"/>
    </row>
    <row r="166">
      <c r="A166" s="12" t="inlineStr">
        <is>
          <t>Guinea-Bissau</t>
        </is>
      </c>
      <c r="B166" s="13" t="n">
        <v>1.37</v>
      </c>
      <c r="C166" s="14" t="n">
        <v>21</v>
      </c>
      <c r="D166" s="15" t="n">
        <v>0.5570000000000001</v>
      </c>
      <c r="E166" s="16">
        <f>IF(OR(B166="",C166="",D166=""),"Insufficient data",IF(AND(B166&gt;=$B$4,C166&gt;=$C$4,D166&gt;=$D$4),"Meets standard",IF(AND(B166&gt;=$B$3,C166&gt;=$C$3,D166&gt;=$D$3),"Above minimum","Below minimum")))</f>
        <v/>
      </c>
      <c r="F166" s="16" t="n">
        <v>3</v>
      </c>
      <c r="G166" s="28">
        <f>IF(OR(B166="",C166="",D166=""),"n/a",IF(AND(B166&gt;=$B$3,C166&gt;=$C$3,D166&gt;=$D$3),"Yes","No"))</f>
        <v/>
      </c>
      <c r="H166" s="29" t="n"/>
    </row>
    <row r="167">
      <c r="A167" s="12" t="inlineStr">
        <is>
          <t>Syria</t>
        </is>
      </c>
      <c r="B167" s="13" t="n">
        <v>1.37</v>
      </c>
      <c r="C167" s="14" t="n">
        <v>15</v>
      </c>
      <c r="D167" s="15" t="n">
        <v>0.321</v>
      </c>
      <c r="E167" s="16">
        <f>IF(OR(B167="",C167="",D167=""),"Insufficient data",IF(AND(B167&gt;=$B$4,C167&gt;=$C$4,D167&gt;=$D$4),"Meets standard",IF(AND(B167&gt;=$B$3,C167&gt;=$C$3,D167&gt;=$D$3),"Above minimum","Below minimum")))</f>
        <v/>
      </c>
      <c r="F167" s="16" t="n">
        <v>3</v>
      </c>
      <c r="G167" s="28">
        <f>IF(OR(B167="",C167="",D167=""),"n/a",IF(AND(B167&gt;=$B$3,C167&gt;=$C$3,D167&gt;=$D$3),"Yes","No"))</f>
        <v/>
      </c>
      <c r="H167" s="29" t="n"/>
    </row>
    <row r="168">
      <c r="A168" s="12" t="inlineStr">
        <is>
          <t>Central African Republic</t>
        </is>
      </c>
      <c r="B168" s="13" t="n">
        <v>1.18</v>
      </c>
      <c r="C168" s="14" t="n">
        <v>24</v>
      </c>
      <c r="D168" s="15" t="n">
        <v>0.438</v>
      </c>
      <c r="E168" s="16">
        <f>IF(OR(B168="",C168="",D168=""),"Insufficient data",IF(AND(B168&gt;=$B$4,C168&gt;=$C$4,D168&gt;=$D$4),"Meets standard",IF(AND(B168&gt;=$B$3,C168&gt;=$C$3,D168&gt;=$D$3),"Above minimum","Below minimum")))</f>
        <v/>
      </c>
      <c r="F168" s="16" t="n">
        <v>3</v>
      </c>
      <c r="G168" s="28">
        <f>IF(OR(B168="",C168="",D168=""),"n/a",IF(AND(B168&gt;=$B$3,C168&gt;=$C$3,D168&gt;=$D$3),"Yes","No"))</f>
        <v/>
      </c>
      <c r="H168" s="29" t="n"/>
    </row>
    <row r="169">
      <c r="A169" s="12" t="inlineStr">
        <is>
          <t>North Korea</t>
        </is>
      </c>
      <c r="B169" s="13" t="n">
        <v>1.08</v>
      </c>
      <c r="C169" s="14" t="n">
        <v>15</v>
      </c>
      <c r="D169" s="15" t="n">
        <v>0.024</v>
      </c>
      <c r="E169" s="16">
        <f>IF(OR(B169="",C169="",D169=""),"Insufficient data",IF(AND(B169&gt;=$B$4,C169&gt;=$C$4,D169&gt;=$D$4),"Meets standard",IF(AND(B169&gt;=$B$3,C169&gt;=$C$3,D169&gt;=$D$3),"Above minimum","Below minimum")))</f>
        <v/>
      </c>
      <c r="F169" s="16" t="n">
        <v>3</v>
      </c>
      <c r="G169" s="28">
        <f>IF(OR(B169="",C169="",D169=""),"n/a",IF(AND(B169&gt;=$B$3,C169&gt;=$C$3,D169&gt;=$D$3),"Yes","No"))</f>
        <v/>
      </c>
      <c r="H169" s="29" t="n"/>
    </row>
    <row r="170">
      <c r="A170" s="12" t="inlineStr">
        <is>
          <t>Myanmar</t>
        </is>
      </c>
      <c r="B170" s="13" t="n">
        <v>0.96</v>
      </c>
      <c r="C170" s="14" t="n">
        <v>16</v>
      </c>
      <c r="D170" s="15" t="n">
        <v>0.102</v>
      </c>
      <c r="E170" s="16">
        <f>IF(OR(B170="",C170="",D170=""),"Insufficient data",IF(AND(B170&gt;=$B$4,C170&gt;=$C$4,D170&gt;=$D$4),"Meets standard",IF(AND(B170&gt;=$B$3,C170&gt;=$C$3,D170&gt;=$D$3),"Above minimum","Below minimum")))</f>
        <v/>
      </c>
      <c r="F170" s="16" t="n">
        <v>3</v>
      </c>
      <c r="G170" s="28">
        <f>IF(OR(B170="",C170="",D170=""),"n/a",IF(AND(B170&gt;=$B$3,C170&gt;=$C$3,D170&gt;=$D$3),"Yes","No"))</f>
        <v/>
      </c>
      <c r="H170" s="29" t="n"/>
    </row>
    <row r="171">
      <c r="A171" s="12" t="inlineStr">
        <is>
          <t>Afghanistan</t>
        </is>
      </c>
      <c r="B171" s="13" t="n">
        <v>0.25</v>
      </c>
      <c r="C171" s="14" t="n">
        <v>16</v>
      </c>
      <c r="D171" s="15" t="n">
        <v>0.041</v>
      </c>
      <c r="E171" s="16">
        <f>IF(OR(B171="",C171="",D171=""),"Insufficient data",IF(AND(B171&gt;=$B$4,C171&gt;=$C$4,D171&gt;=$D$4),"Meets standard",IF(AND(B171&gt;=$B$3,C171&gt;=$C$3,D171&gt;=$D$3),"Above minimum","Below minimum")))</f>
        <v/>
      </c>
      <c r="F171" s="16" t="n">
        <v>3</v>
      </c>
      <c r="G171" s="28">
        <f>IF(OR(B171="",C171="",D171=""),"n/a",IF(AND(B171&gt;=$B$3,C171&gt;=$C$3,D171&gt;=$D$3),"Yes","No"))</f>
        <v/>
      </c>
      <c r="H171" s="29" t="n"/>
    </row>
    <row r="172">
      <c r="A172" s="12" t="inlineStr">
        <is>
          <t>Palestine</t>
        </is>
      </c>
      <c r="B172" s="13" t="n">
        <v>3.44</v>
      </c>
      <c r="C172" s="14" t="n"/>
      <c r="D172" s="15" t="n"/>
      <c r="E172" s="16">
        <f>IF(OR(B172="",C172="",D172=""),"Insufficient data",IF(AND(B172&gt;=$B$4,C172&gt;=$C$4,D172&gt;=$D$4),"Meets standard",IF(AND(B172&gt;=$B$3,C172&gt;=$C$3,D172&gt;=$D$3),"Above minimum","Below minimum")))</f>
        <v/>
      </c>
      <c r="F172" s="16" t="n">
        <v>4</v>
      </c>
      <c r="G172" s="28">
        <f>IF(OR(B172="",C172="",D172=""),"n/a",IF(AND(B172&gt;=$B$3,C172&gt;=$C$3,D172&gt;=$D$3),"Yes","No"))</f>
        <v/>
      </c>
      <c r="H172" s="29" t="n"/>
    </row>
    <row r="173">
      <c r="A173" s="12" t="inlineStr">
        <is>
          <t>Barbados</t>
        </is>
      </c>
      <c r="B173" s="13" t="n"/>
      <c r="C173" s="14" t="n">
        <v>68</v>
      </c>
      <c r="D173" s="15" t="n">
        <v>0.918</v>
      </c>
      <c r="E173" s="16">
        <f>IF(OR(B173="",C173="",D173=""),"Insufficient data",IF(AND(B173&gt;=$B$4,C173&gt;=$C$4,D173&gt;=$D$4),"Meets standard",IF(AND(B173&gt;=$B$3,C173&gt;=$C$3,D173&gt;=$D$3),"Above minimum","Below minimum")))</f>
        <v/>
      </c>
      <c r="F173" s="16" t="n">
        <v>4</v>
      </c>
      <c r="G173" s="28">
        <f>IF(OR(B173="",C173="",D173=""),"n/a",IF(AND(B173&gt;=$B$3,C173&gt;=$C$3,D173&gt;=$D$3),"Yes","No"))</f>
        <v/>
      </c>
      <c r="H173" s="29" t="n"/>
    </row>
    <row r="174">
      <c r="A174" s="12" t="inlineStr">
        <is>
          <t>Seychelles</t>
        </is>
      </c>
      <c r="B174" s="13" t="n"/>
      <c r="C174" s="14" t="n">
        <v>68</v>
      </c>
      <c r="D174" s="15" t="n">
        <v>0.904</v>
      </c>
      <c r="E174" s="16">
        <f>IF(OR(B174="",C174="",D174=""),"Insufficient data",IF(AND(B174&gt;=$B$4,C174&gt;=$C$4,D174&gt;=$D$4),"Meets standard",IF(AND(B174&gt;=$B$3,C174&gt;=$C$3,D174&gt;=$D$3),"Above minimum","Below minimum")))</f>
        <v/>
      </c>
      <c r="F174" s="16" t="n">
        <v>4</v>
      </c>
      <c r="G174" s="28">
        <f>IF(OR(B174="",C174="",D174=""),"n/a",IF(AND(B174&gt;=$B$3,C174&gt;=$C$3,D174&gt;=$D$3),"Yes","No"))</f>
        <v/>
      </c>
      <c r="H174" s="29" t="n"/>
    </row>
    <row r="175">
      <c r="A175" s="12" t="inlineStr">
        <is>
          <t>Bahamas</t>
        </is>
      </c>
      <c r="B175" s="13" t="n"/>
      <c r="C175" s="14" t="n">
        <v>64</v>
      </c>
      <c r="D175" s="15" t="n"/>
      <c r="E175" s="16">
        <f>IF(OR(B175="",C175="",D175=""),"Insufficient data",IF(AND(B175&gt;=$B$4,C175&gt;=$C$4,D175&gt;=$D$4),"Meets standard",IF(AND(B175&gt;=$B$3,C175&gt;=$C$3,D175&gt;=$D$3),"Above minimum","Below minimum")))</f>
        <v/>
      </c>
      <c r="F175" s="16" t="n">
        <v>4</v>
      </c>
      <c r="G175" s="28">
        <f>IF(OR(B175="",C175="",D175=""),"n/a",IF(AND(B175&gt;=$B$3,C175&gt;=$C$3,D175&gt;=$D$3),"Yes","No"))</f>
        <v/>
      </c>
      <c r="H175" s="29" t="n"/>
    </row>
    <row r="176">
      <c r="A176" s="12" t="inlineStr">
        <is>
          <t>Brunei</t>
        </is>
      </c>
      <c r="B176" s="13" t="n"/>
      <c r="C176" s="14" t="n">
        <v>63</v>
      </c>
      <c r="D176" s="15" t="n"/>
      <c r="E176" s="16">
        <f>IF(OR(B176="",C176="",D176=""),"Insufficient data",IF(AND(B176&gt;=$B$4,C176&gt;=$C$4,D176&gt;=$D$4),"Meets standard",IF(AND(B176&gt;=$B$3,C176&gt;=$C$3,D176&gt;=$D$3),"Above minimum","Below minimum")))</f>
        <v/>
      </c>
      <c r="F176" s="16" t="n">
        <v>4</v>
      </c>
      <c r="G176" s="28">
        <f>IF(OR(B176="",C176="",D176=""),"n/a",IF(AND(B176&gt;=$B$3,C176&gt;=$C$3,D176&gt;=$D$3),"Yes","No"))</f>
        <v/>
      </c>
      <c r="H176" s="29" t="n"/>
    </row>
    <row r="177">
      <c r="A177" s="12" t="inlineStr">
        <is>
          <t>Saint Vincent and the Grenadines</t>
        </is>
      </c>
      <c r="B177" s="13" t="n"/>
      <c r="C177" s="14" t="n">
        <v>63</v>
      </c>
      <c r="D177" s="15" t="n"/>
      <c r="E177" s="16">
        <f>IF(OR(B177="",C177="",D177=""),"Insufficient data",IF(AND(B177&gt;=$B$4,C177&gt;=$C$4,D177&gt;=$D$4),"Meets standard",IF(AND(B177&gt;=$B$3,C177&gt;=$C$3,D177&gt;=$D$3),"Above minimum","Below minimum")))</f>
        <v/>
      </c>
      <c r="F177" s="16" t="n">
        <v>4</v>
      </c>
      <c r="G177" s="28">
        <f>IF(OR(B177="",C177="",D177=""),"n/a",IF(AND(B177&gt;=$B$3,C177&gt;=$C$3,D177&gt;=$D$3),"Yes","No"))</f>
        <v/>
      </c>
      <c r="H177" s="29" t="n"/>
    </row>
    <row r="178">
      <c r="A178" s="12" t="inlineStr">
        <is>
          <t>Dominica</t>
        </is>
      </c>
      <c r="B178" s="13" t="n"/>
      <c r="C178" s="14" t="n">
        <v>60</v>
      </c>
      <c r="D178" s="15" t="n"/>
      <c r="E178" s="16">
        <f>IF(OR(B178="",C178="",D178=""),"Insufficient data",IF(AND(B178&gt;=$B$4,C178&gt;=$C$4,D178&gt;=$D$4),"Meets standard",IF(AND(B178&gt;=$B$3,C178&gt;=$C$3,D178&gt;=$D$3),"Above minimum","Below minimum")))</f>
        <v/>
      </c>
      <c r="F178" s="16" t="n">
        <v>4</v>
      </c>
      <c r="G178" s="28">
        <f>IF(OR(B178="",C178="",D178=""),"n/a",IF(AND(B178&gt;=$B$3,C178&gt;=$C$3,D178&gt;=$D$3),"Yes","No"))</f>
        <v/>
      </c>
      <c r="H178" s="29" t="n"/>
    </row>
    <row r="179">
      <c r="A179" s="12" t="inlineStr">
        <is>
          <t>Saint Lucia</t>
        </is>
      </c>
      <c r="B179" s="13" t="n"/>
      <c r="C179" s="14" t="n">
        <v>59</v>
      </c>
      <c r="D179" s="15" t="n"/>
      <c r="E179" s="16">
        <f>IF(OR(B179="",C179="",D179=""),"Insufficient data",IF(AND(B179&gt;=$B$4,C179&gt;=$C$4,D179&gt;=$D$4),"Meets standard",IF(AND(B179&gt;=$B$3,C179&gt;=$C$3,D179&gt;=$D$3),"Above minimum","Below minimum")))</f>
        <v/>
      </c>
      <c r="F179" s="16" t="n">
        <v>4</v>
      </c>
      <c r="G179" s="28">
        <f>IF(OR(B179="",C179="",D179=""),"n/a",IF(AND(B179&gt;=$B$3,C179&gt;=$C$3,D179&gt;=$D$3),"Yes","No"))</f>
        <v/>
      </c>
      <c r="H179" s="29" t="n"/>
    </row>
    <row r="180">
      <c r="A180" s="12" t="inlineStr">
        <is>
          <t>Grenada</t>
        </is>
      </c>
      <c r="B180" s="13" t="n"/>
      <c r="C180" s="14" t="n">
        <v>56</v>
      </c>
      <c r="D180" s="15" t="n"/>
      <c r="E180" s="16">
        <f>IF(OR(B180="",C180="",D180=""),"Insufficient data",IF(AND(B180&gt;=$B$4,C180&gt;=$C$4,D180&gt;=$D$4),"Meets standard",IF(AND(B180&gt;=$B$3,C180&gt;=$C$3,D180&gt;=$D$3),"Above minimum","Below minimum")))</f>
        <v/>
      </c>
      <c r="F180" s="16" t="n">
        <v>4</v>
      </c>
      <c r="G180" s="28">
        <f>IF(OR(B180="",C180="",D180=""),"n/a",IF(AND(B180&gt;=$B$3,C180&gt;=$C$3,D180&gt;=$D$3),"Yes","No"))</f>
        <v/>
      </c>
      <c r="H180" s="29" t="n"/>
    </row>
    <row r="181">
      <c r="A181" s="12" t="inlineStr">
        <is>
          <t>Vanuatu</t>
        </is>
      </c>
      <c r="B181" s="13" t="n"/>
      <c r="C181" s="14" t="n">
        <v>47</v>
      </c>
      <c r="D181" s="15" t="n">
        <v>0.881</v>
      </c>
      <c r="E181" s="16">
        <f>IF(OR(B181="",C181="",D181=""),"Insufficient data",IF(AND(B181&gt;=$B$4,C181&gt;=$C$4,D181&gt;=$D$4),"Meets standard",IF(AND(B181&gt;=$B$3,C181&gt;=$C$3,D181&gt;=$D$3),"Above minimum","Below minimum")))</f>
        <v/>
      </c>
      <c r="F181" s="16" t="n">
        <v>4</v>
      </c>
      <c r="G181" s="28">
        <f>IF(OR(B181="",C181="",D181=""),"n/a",IF(AND(B181&gt;=$B$3,C181&gt;=$C$3,D181&gt;=$D$3),"Yes","No"))</f>
        <v/>
      </c>
      <c r="H181" s="29" t="n"/>
    </row>
    <row r="182">
      <c r="A182" s="12" t="inlineStr">
        <is>
          <t>Sao Tome and Principe</t>
        </is>
      </c>
      <c r="B182" s="13" t="n"/>
      <c r="C182" s="14" t="n">
        <v>45</v>
      </c>
      <c r="D182" s="15" t="n">
        <v>0.892</v>
      </c>
      <c r="E182" s="16">
        <f>IF(OR(B182="",C182="",D182=""),"Insufficient data",IF(AND(B182&gt;=$B$4,C182&gt;=$C$4,D182&gt;=$D$4),"Meets standard",IF(AND(B182&gt;=$B$3,C182&gt;=$C$3,D182&gt;=$D$3),"Above minimum","Below minimum")))</f>
        <v/>
      </c>
      <c r="F182" s="16" t="n">
        <v>4</v>
      </c>
      <c r="G182" s="28">
        <f>IF(OR(B182="",C182="",D182=""),"n/a",IF(AND(B182&gt;=$B$3,C182&gt;=$C$3,D182&gt;=$D$3),"Yes","No"))</f>
        <v/>
      </c>
      <c r="H182" s="29" t="n"/>
    </row>
    <row r="183">
      <c r="A183" s="12" t="inlineStr">
        <is>
          <t>Solomon Islands</t>
        </is>
      </c>
      <c r="B183" s="13" t="n"/>
      <c r="C183" s="14" t="n">
        <v>44</v>
      </c>
      <c r="D183" s="15" t="n">
        <v>0.857</v>
      </c>
      <c r="E183" s="16">
        <f>IF(OR(B183="",C183="",D183=""),"Insufficient data",IF(AND(B183&gt;=$B$4,C183&gt;=$C$4,D183&gt;=$D$4),"Meets standard",IF(AND(B183&gt;=$B$3,C183&gt;=$C$3,D183&gt;=$D$3),"Above minimum","Below minimum")))</f>
        <v/>
      </c>
      <c r="F183" s="16" t="n">
        <v>4</v>
      </c>
      <c r="G183" s="28">
        <f>IF(OR(B183="",C183="",D183=""),"n/a",IF(AND(B183&gt;=$B$3,C183&gt;=$C$3,D183&gt;=$D$3),"Yes","No"))</f>
        <v/>
      </c>
      <c r="H183" s="29" t="n"/>
    </row>
    <row r="184">
      <c r="A184" s="12" t="inlineStr">
        <is>
          <t>Kosovo</t>
        </is>
      </c>
      <c r="B184" s="13" t="n"/>
      <c r="C184" s="14" t="n">
        <v>43</v>
      </c>
      <c r="D184" s="15" t="n">
        <v>0.8139999999999999</v>
      </c>
      <c r="E184" s="16">
        <f>IF(OR(B184="",C184="",D184=""),"Insufficient data",IF(AND(B184&gt;=$B$4,C184&gt;=$C$4,D184&gt;=$D$4),"Meets standard",IF(AND(B184&gt;=$B$3,C184&gt;=$C$3,D184&gt;=$D$3),"Above minimum","Below minimum")))</f>
        <v/>
      </c>
      <c r="F184" s="16" t="n">
        <v>4</v>
      </c>
      <c r="G184" s="28">
        <f>IF(OR(B184="",C184="",D184=""),"n/a",IF(AND(B184&gt;=$B$3,C184&gt;=$C$3,D184&gt;=$D$3),"Yes","No"))</f>
        <v/>
      </c>
      <c r="H184" s="29" t="n"/>
    </row>
    <row r="185">
      <c r="A185" s="12" t="inlineStr">
        <is>
          <t>Maldives</t>
        </is>
      </c>
      <c r="B185" s="13" t="n"/>
      <c r="C185" s="14" t="n">
        <v>39</v>
      </c>
      <c r="D185" s="15" t="n">
        <v>0.724</v>
      </c>
      <c r="E185" s="16">
        <f>IF(OR(B185="",C185="",D185=""),"Insufficient data",IF(AND(B185&gt;=$B$4,C185&gt;=$C$4,D185&gt;=$D$4),"Meets standard",IF(AND(B185&gt;=$B$3,C185&gt;=$C$3,D185&gt;=$D$3),"Above minimum","Below minimum")))</f>
        <v/>
      </c>
      <c r="F185" s="16" t="n">
        <v>4</v>
      </c>
      <c r="G185" s="28">
        <f>IF(OR(B185="",C185="",D185=""),"n/a",IF(AND(B185&gt;=$B$3,C185&gt;=$C$3,D185&gt;=$D$3),"Yes","No"))</f>
        <v/>
      </c>
      <c r="H185" s="29" t="n"/>
    </row>
    <row r="186">
      <c r="A186" s="12" t="inlineStr">
        <is>
          <t>Belize</t>
        </is>
      </c>
      <c r="B186" s="13" t="n"/>
      <c r="C186" s="14" t="n">
        <v>36</v>
      </c>
      <c r="D186" s="15" t="n"/>
      <c r="E186" s="16">
        <f>IF(OR(B186="",C186="",D186=""),"Insufficient data",IF(AND(B186&gt;=$B$4,C186&gt;=$C$4,D186&gt;=$D$4),"Meets standard",IF(AND(B186&gt;=$B$3,C186&gt;=$C$3,D186&gt;=$D$3),"Above minimum","Below minimum")))</f>
        <v/>
      </c>
      <c r="F186" s="16" t="n">
        <v>4</v>
      </c>
      <c r="G186" s="28">
        <f>IF(OR(B186="",C186="",D186=""),"n/a",IF(AND(B186&gt;=$B$3,C186&gt;=$C$3,D186&gt;=$D$3),"Yes","No"))</f>
        <v/>
      </c>
      <c r="H186" s="29" t="n"/>
    </row>
    <row r="187">
      <c r="A187" s="12" t="inlineStr">
        <is>
          <t>Somalia</t>
        </is>
      </c>
      <c r="B187" s="13" t="n"/>
      <c r="C187" s="14" t="n">
        <v>9</v>
      </c>
      <c r="D187" s="15" t="n">
        <v>0.454</v>
      </c>
      <c r="E187" s="16">
        <f>IF(OR(B187="",C187="",D187=""),"Insufficient data",IF(AND(B187&gt;=$B$4,C187&gt;=$C$4,D187&gt;=$D$4),"Meets standard",IF(AND(B187&gt;=$B$3,C187&gt;=$C$3,D187&gt;=$D$3),"Above minimum","Below minimum")))</f>
        <v/>
      </c>
      <c r="F187" s="16" t="n">
        <v>4</v>
      </c>
      <c r="G187" s="28">
        <f>IF(OR(B187="",C187="",D187=""),"n/a",IF(AND(B187&gt;=$B$3,C187&gt;=$C$3,D187&gt;=$D$3),"Yes","No"))</f>
        <v/>
      </c>
      <c r="H187" s="29" t="n"/>
    </row>
    <row r="188">
      <c r="A188" s="12" t="inlineStr">
        <is>
          <t>South Sudan</t>
        </is>
      </c>
      <c r="B188" s="13" t="n"/>
      <c r="C188" s="14" t="n">
        <v>9</v>
      </c>
      <c r="D188" s="15" t="n">
        <v>0.228</v>
      </c>
      <c r="E188" s="16">
        <f>IF(OR(B188="",C188="",D188=""),"Insufficient data",IF(AND(B188&gt;=$B$4,C188&gt;=$C$4,D188&gt;=$D$4),"Meets standard",IF(AND(B188&gt;=$B$3,C188&gt;=$C$3,D188&gt;=$D$3),"Above minimum","Below minimum")))</f>
        <v/>
      </c>
      <c r="F188" s="16" t="n">
        <v>4</v>
      </c>
      <c r="G188" s="28">
        <f>IF(OR(B188="",C188="",D188=""),"n/a",IF(AND(B188&gt;=$B$3,C188&gt;=$C$3,D188&gt;=$D$3),"Yes","No"))</f>
        <v/>
      </c>
      <c r="H188" s="29" t="n"/>
    </row>
    <row r="189">
      <c r="H189" s="33" t="n"/>
    </row>
    <row r="190">
      <c r="H190" s="33" t="n"/>
    </row>
    <row r="191">
      <c r="H191" s="33" t="n"/>
    </row>
    <row r="192">
      <c r="H192" s="33" t="n"/>
    </row>
    <row r="193">
      <c r="H193" s="33" t="n"/>
    </row>
    <row r="194">
      <c r="H194" s="33" t="n"/>
    </row>
  </sheetData>
  <autoFilter ref="A5:H188"/>
  <mergeCells count="2">
    <mergeCell ref="A2:G2"/>
    <mergeCell ref="A1:G1"/>
  </mergeCells>
  <conditionalFormatting sqref="A6:A188">
    <cfRule type="expression" priority="8" dxfId="1">
      <formula>$E6="Meets standard"</formula>
    </cfRule>
    <cfRule type="expression" priority="9" dxfId="0">
      <formula>$E6="Above minimum"</formula>
    </cfRule>
  </conditionalFormatting>
  <conditionalFormatting sqref="B6:D188">
    <cfRule type="expression" priority="10" dxfId="3">
      <formula>$E6="Meets standard"</formula>
    </cfRule>
    <cfRule type="expression" priority="11" dxfId="2">
      <formula>$E6="Above minimum"</formula>
    </cfRule>
  </conditionalFormatting>
  <conditionalFormatting sqref="E6:E188">
    <cfRule type="expression" priority="7" dxfId="1">
      <formula>E6="Meets standard"</formula>
    </cfRule>
    <cfRule type="expression" priority="8" dxfId="0">
      <formula>E6="Above minimum"</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10" defaultColWidth="8.83203125" defaultRowHeight="15"/>
  <cols>
    <col width="22" customWidth="1" style="24" min="1" max="1"/>
    <col width="95" customWidth="1" style="24" min="2" max="2"/>
  </cols>
  <sheetData>
    <row r="1" ht="20" customHeight="1" s="24">
      <c r="A1" s="9" t="inlineStr">
        <is>
          <t>Subject</t>
        </is>
      </c>
      <c r="B1" s="9" t="inlineStr">
        <is>
          <t>Explanation</t>
        </is>
      </c>
    </row>
    <row r="2" ht="34" customHeight="1" s="24">
      <c r="A2" s="10" t="inlineStr">
        <is>
          <t>Democracy Index</t>
        </is>
      </c>
      <c r="B2" s="11" t="inlineStr">
        <is>
          <t>Economist Intelligence Unit (EIU), 2025 edition (published Feb 2026). Scale 0-10. Categories: Full democracy (&gt;=8.0), Flawed democracy (6.0-7.99), Hybrid regime (4.0-5.99), Authoritarian (&lt;4.0). 167 countries/territories. Global average 5.19; 26 full democracies.</t>
        </is>
      </c>
    </row>
    <row r="3" ht="34" customHeight="1" s="24">
      <c r="A3" s="10" t="inlineStr">
        <is>
          <t>Key points 2025</t>
        </is>
      </c>
      <c r="B3" s="11" t="inlineStr">
        <is>
          <t>First stabilisation in eight years (~75% of countries unchanged or improved). Norway #1; France back to 'Full democracy'; Canada 9.08/#9, Japan and Uruguay rose to 'Full democracy'; US 7.65/#34 (remains 'Flawed'); Romania, Malawi, Senegal, Paraguay back to 'Flawed'; Moldova to 'Hybrid'; Angola to 'Authoritarian'.</t>
        </is>
      </c>
    </row>
    <row r="4" ht="34" customHeight="1" s="24">
      <c r="A4" s="10" t="inlineStr">
        <is>
          <t>CPI</t>
        </is>
      </c>
      <c r="B4" s="11" t="inlineStr">
        <is>
          <t>Corruption Perceptions Index 2025, Transparency International (published 10 Feb 2026). Scale 0-100 (higher = less corrupt). 182 countries/territories. Global average 42; only five countries above 80.</t>
        </is>
      </c>
    </row>
    <row r="5" ht="34" customHeight="1" s="24">
      <c r="A5" s="10" t="inlineStr">
        <is>
          <t>Human Rights Index</t>
        </is>
      </c>
      <c r="B5" s="11" t="inlineStr">
        <is>
          <t>V-Dem Civil Liberties Index ('Human rights index – V-Dem'), 2026 edition (V-Dem Democracy report v16), processed by Our World in Data. Scale 0-1 (higher = more civil liberties). 180 countries with 2025 data. Based on assessments by ~3,500 country experts (V-Dem Institute, University of Gothenburg); measured via a published measurement model (latent-variable analysis). Covers physical integrity (freedom from torture/political killing), private liberties (property, freedom of movement, religion) and political liberties (association, expression) — not socioeconomic rights (food, health, education).</t>
        </is>
      </c>
    </row>
    <row r="6" ht="34" customHeight="1" s="24">
      <c r="A6" s="10" t="inlineStr">
        <is>
          <t>Matching across indices</t>
        </is>
      </c>
      <c r="B6" s="11" t="inlineStr">
        <is>
          <t>All three indices are matched per country. Not every country appears in all three: the CPI includes several small Caribbean states (Bahamas, Barbados, Brunei, Dominica, Grenada, Saint Lucia, Saint Vincent and the Grenadines) that neither the DI nor the HRI covers; blank cells mean 'not covered by that index'. Name differences are matched via alias (e.g. Czech Republic = Czechia, Ivory Coast = Cote d'Ivoire, Timor-Leste = East Timor, Republic/Democratic Republic of the Congo = Congo/Democratic Republic of Congo).</t>
        </is>
      </c>
    </row>
    <row r="7" ht="34" customHeight="1" s="24">
      <c r="A7" s="17" t="inlineStr">
        <is>
          <t>Colour coding (simplified)</t>
        </is>
      </c>
      <c r="B7" s="18" t="inlineStr">
        <is>
          <t>The Democracy Index, CPI and Human Rights Index columns show only the score, in plain black text with no colour. Colour is concentrated in the 'Country' and 'GU level' columns, using exactly two colours: green for 'Meets standard' and blue for 'Above minimum'. 'Below minimum' and 'n/a' receive no colour. The DI-rank, DI-regime-type and CPI-rank columns were removed for clarity.</t>
        </is>
      </c>
    </row>
    <row r="8" ht="34" customHeight="1" s="24">
      <c r="A8" s="10" t="inlineStr">
        <is>
          <t>Formatting when sorting/filtering</t>
        </is>
      </c>
      <c r="B8" s="11" t="inlineStr">
        <is>
          <t>The table no longer uses alternating row colours (zebra striping), because manual banding based on row order produces a random-looking pattern once the table is sorted or filtered via the row-5 filter. All colour you see (GU level, Country) is tied to the value of the cell itself, and therefore remains correct regardless of row order.</t>
        </is>
      </c>
    </row>
    <row r="9" ht="34" customHeight="1" s="24">
      <c r="A9" s="17" t="inlineStr">
        <is>
          <t>Two thresholds per index</t>
        </is>
      </c>
      <c r="B9" s="18" t="inlineStr">
        <is>
          <t>The 'Overview' tab has two adjustable, yellow threshold cells for each index: row 3 = 'Above minimum' (the lower bar, for invitation) and row 4 = 'Meets standard' (the higher bar, for the top tier). Each threshold sits directly beneath its own score column: B = Democracy Index, C = CPI, D = Human Rights Index.</t>
        </is>
      </c>
    </row>
    <row r="10" ht="34" customHeight="1" s="24">
      <c r="A10" s="17" t="inlineStr">
        <is>
          <t>Column 'GU level'</t>
        </is>
      </c>
      <c r="B10" s="18" t="inlineStr">
        <is>
          <t>Shows, per country, 'Meets standard' (meets the 'Meets standard' threshold in row 4 on all three indices), 'Above minimum' (meets the 'Above minimum' threshold in row 3 on all three, but not 'Meets standard'), 'Below minimum' (fails at least one 'Above minimum' threshold), or 'Insufficient data' (the country is missing from one of the three indices). Colour: green = Meets standard, blue = Above minimum, no colour = Below minimum/insufficient data. The 'Country' column takes on the same colour as 'GU level', so the country name itself also shows the level at a glance.</t>
        </is>
      </c>
    </row>
    <row r="11" ht="34" customHeight="1" s="24">
      <c r="A11" s="17" t="inlineStr">
        <is>
          <t>Column 'Invite to GU'</t>
        </is>
      </c>
      <c r="B11" s="18" t="inlineStr">
        <is>
          <t>Shows 'Yes' as soon as a country is above the 'Above minimum' threshold (row 3) on all three indices — this is the broad invitation list ('Above minimum' + 'Meets standard' combined), 'No' if the country falls below that threshold on at least one index, and 'n/a' where data is missing. This column is not separately coloured; the level is already visible via 'GU level' and 'Country'.</t>
        </is>
      </c>
    </row>
    <row r="12" ht="34" customHeight="1" s="24">
      <c r="A12" s="17" t="inlineStr">
        <is>
          <t>Default settings</t>
        </is>
      </c>
      <c r="B12" s="18" t="inlineStr">
        <is>
          <t>'Above minimum': DI &gt;= 6.0, CPI &gt;= 40, HRI &gt;= 0.70. 'Meets standard': DI &gt;= 8.0, CPI &gt;= 70, HRI &gt;= 0.75. The 'Above minimum' threshold was deliberately chosen so that all 27 EU member states score 'Yes' on 'Invite to GU' — verified against the lowest-scoring EU countries on each index (Romania DI 6.11; Bulgaria/Hungary CPI 40; Hungary HRI 0.793). DI 6.0 corresponds to the EIU's own lower bound for the 'Flawed democracy' category. Adjust the six yellow cells (B3, C3, D3, B4, C4, D4) to recalculate the levels and the invitation list; the counters at G3 ('countries invited') and G4 ('above minimum') update automatically.</t>
        </is>
      </c>
    </row>
    <row r="13" ht="34" customHeight="1" s="24">
      <c r="A13" s="10" t="inlineStr">
        <is>
          <t>Source: DI</t>
        </is>
      </c>
      <c r="B13" s="11" t="inlineStr">
        <is>
          <t>Economist Intelligence Unit, Democracy Index 2025 (econgrp.co/DemocracyIndex2025); country values verified against the EIU source table.</t>
        </is>
      </c>
    </row>
    <row r="14" ht="34" customHeight="1" s="24">
      <c r="A14" s="10" t="inlineStr">
        <is>
          <t>Source: CPI</t>
        </is>
      </c>
      <c r="B14" s="11" t="inlineStr">
        <is>
          <t>Transparency International, Corruption Perceptions Index 2025, transparency.org/en/cpi/2025.</t>
        </is>
      </c>
    </row>
    <row r="15" ht="34" customHeight="1" s="24">
      <c r="A15" s="10" t="inlineStr">
        <is>
          <t>Source: HRI</t>
        </is>
      </c>
      <c r="B15" s="11" t="inlineStr">
        <is>
          <t>V-Dem (2026) – processed by Our World in Data. “Human rights index – V-Dem” [dataset]. V-Dem, “Democracy report v16” [original data]. ourworldindata.org/grapher/human-rights-index-vdem.</t>
        </is>
      </c>
    </row>
    <row r="16" ht="34" customHeight="1" s="24">
      <c r="A16" s="10" t="inlineStr">
        <is>
          <t>Retrieved</t>
        </is>
      </c>
      <c r="B16" s="11" t="inlineStr">
        <is>
          <t>July 2026.</t>
        </is>
      </c>
    </row>
    <row r="18" ht="48" customHeight="1" s="24">
      <c r="A18" s="36" t="inlineStr">
        <is>
          <t>Column 'category'</t>
        </is>
      </c>
      <c r="B18" s="37" t="inlineStr">
        <is>
          <t>Manual numeric sorting aid: 1 = Meets standard, 2 = Above minimum. Mirrors the classification in 'GU level', but as a number rather than text, so the table can be sorted by level without the alphabetical text order (A-B-M) getting in the way.</t>
        </is>
      </c>
    </row>
    <row r="19" ht="48" customHeight="1" s="24">
      <c r="A19" s="36" t="inlineStr">
        <is>
          <t>Column 'Remarks'</t>
        </is>
      </c>
      <c r="B19" s="37" t="inlineStr">
        <is>
          <t>Space for manual notes on individual countries, in particular where a human judgement overrides the formula-based outcome of 'Invite to GU'. Currently applied to the United States and Israel: both countries numerically meet the 'Above minimum' threshold (column E), but 'Invite to GU' has been manually set to 'No', with the note that accession is only on the table once the country is willing to commit fully to the GU rules — under the current administrations in Washington and Jerusalem this is considered unlikely for now.</t>
        </is>
      </c>
    </row>
    <row r="20">
      <c r="A20" s="19" t="inlineStr">
        <is>
          <t>Colour key 'GU level' &amp; 'Country'</t>
        </is>
      </c>
    </row>
    <row r="21">
      <c r="A21" s="20" t="inlineStr">
        <is>
          <t>Meets standard</t>
        </is>
      </c>
    </row>
    <row r="22">
      <c r="A22" s="21" t="inlineStr">
        <is>
          <t>Above minimum</t>
        </is>
      </c>
    </row>
    <row r="23">
      <c r="A23" s="22" t="n"/>
    </row>
    <row r="24">
      <c r="A24" s="2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2026-07-12T10:40:44Z</dcterms:created>
  <dcterms:modified xmlns:dcterms="http://purl.org/dc/terms/" xmlns:xsi="http://www.w3.org/2001/XMLSchema-instance" xsi:type="dcterms:W3CDTF">2026-08-07T11:39:56Z</dcterms:modified>
  <cp:lastModifiedBy>Gerhard Top</cp:lastModifiedBy>
</cp:coreProperties>
</file>